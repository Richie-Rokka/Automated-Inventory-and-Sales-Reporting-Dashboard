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Data Analytics\Automation\"/>
    </mc:Choice>
  </mc:AlternateContent>
  <xr:revisionPtr revIDLastSave="0" documentId="13_ncr:1_{4591331C-83E7-4775-917A-E555ADCAAB5A}" xr6:coauthVersionLast="47" xr6:coauthVersionMax="47" xr10:uidLastSave="{00000000-0000-0000-0000-000000000000}"/>
  <bookViews>
    <workbookView xWindow="-110" yWindow="-110" windowWidth="19420" windowHeight="11500" firstSheet="2" activeTab="5" xr2:uid="{00000000-000D-0000-FFFF-FFFF00000000}"/>
  </bookViews>
  <sheets>
    <sheet name="Read_Me" sheetId="1" r:id="rId1"/>
    <sheet name="tblReferenceData" sheetId="7" r:id="rId2"/>
    <sheet name="tblRawInventory" sheetId="6" r:id="rId3"/>
    <sheet name="Revenue By Region" sheetId="8" r:id="rId4"/>
    <sheet name="Sales Trend" sheetId="9" r:id="rId5"/>
    <sheet name="Dashboard" sheetId="15" r:id="rId6"/>
    <sheet name="Product" sheetId="16" r:id="rId7"/>
    <sheet name="Category" sheetId="17" r:id="rId8"/>
    <sheet name="Clean_Data" sheetId="5" r:id="rId9"/>
    <sheet name="Raw_Sales" sheetId="2" r:id="rId10"/>
    <sheet name="Raw_Inventory" sheetId="3" r:id="rId11"/>
    <sheet name="Reference_Data" sheetId="4" r:id="rId12"/>
  </sheets>
  <definedNames>
    <definedName name="ExternalData_1" localSheetId="8" hidden="1">'Clean_Data'!$A$1:$P$296</definedName>
    <definedName name="ExternalData_2" localSheetId="2" hidden="1">tblRawInventory!$A$1:$C$13</definedName>
    <definedName name="ExternalData_3" localSheetId="1" hidden="1">tblReferenceData!$A$1:$D$13</definedName>
    <definedName name="Slicer_Category1">#N/A</definedName>
    <definedName name="Slicer_Months__Date1">#N/A</definedName>
    <definedName name="Slicer_Region2">#N/A</definedName>
    <definedName name="Slicer_Revenue">#N/A</definedName>
  </definedNames>
  <calcPr calcId="191029"/>
  <pivotCaches>
    <pivotCache cacheId="224"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7" i="15" l="1" a="1"/>
  <c r="B37" i="15" s="1"/>
  <c r="H4" i="15"/>
  <c r="D4" i="15"/>
  <c r="F4" i="15"/>
  <c r="B4"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7A894C-B282-46E6-99C4-9A6077F4FCF1}" keepAlive="1" name="Query - Clean_Data" description="Connection to the 'Clean_Data' query in the workbook." type="5" refreshedVersion="8" background="1" saveData="1">
    <dbPr connection="Provider=Microsoft.Mashup.OleDb.1;Data Source=$Workbook$;Location=Clean_Data;Extended Properties=&quot;&quot;" command="SELECT * FROM [Clean_Data]"/>
  </connection>
  <connection id="2" xr16:uid="{88311B31-6E08-42B0-B9D7-9AC55F70F7C1}" keepAlive="1" name="Query - tblRawInventory" description="Connection to the 'tblRawInventory' query in the workbook." type="5" refreshedVersion="8" background="1" saveData="1">
    <dbPr connection="Provider=Microsoft.Mashup.OleDb.1;Data Source=$Workbook$;Location=tblRawInventory;Extended Properties=&quot;&quot;" command="SELECT * FROM [tblRawInventory]"/>
  </connection>
  <connection id="3" xr16:uid="{279A50DB-C425-4191-B1FD-53C941B7BCDD}" keepAlive="1" name="Query - tblReferenceData" description="Connection to the 'tblReferenceData' query in the workbook." type="5" refreshedVersion="8" background="1" saveData="1">
    <dbPr connection="Provider=Microsoft.Mashup.OleDb.1;Data Source=$Workbook$;Location=tblReferenceData;Extended Properties=&quot;&quot;" command="SELECT * FROM [tblReference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<sst xmlns="http://schemas.openxmlformats.org/spreadsheetml/2006/main" count="4670" uniqueCount="396">
  <si>
    <t>Inventory &amp; Sales Reporting – Raw Dataset Starter</t>
  </si>
  <si>
    <t>Use this workbook as the raw data layer for your automation project.</t>
  </si>
  <si>
    <t>Purpose</t>
  </si>
  <si>
    <t>This workbook contains realistic raw source data for building an automated inventory and sales reporting project in Excel or Google Sheets.</t>
  </si>
  <si>
    <t>Included sheets</t>
  </si>
  <si>
    <t>Raw_Sales, Raw_Inventory, and Reference_Data.</t>
  </si>
  <si>
    <t>Time period</t>
  </si>
  <si>
    <t>January 1, 2026 to March 31, 2026 (inventory snapshots run through early April 2026).</t>
  </si>
  <si>
    <t>Recommended next steps</t>
  </si>
  <si>
    <t>1) Convert each raw sheet to a Power Query source or Google Sheets range. 2) Build Clean_Data. 3) Create Summary and Dashboard sheets.</t>
  </si>
  <si>
    <t>Practice anomalies included</t>
  </si>
  <si>
    <t>A few intentional data quality issues are included: duplicate order ID, missing SKU, region typo, and negative stock.</t>
  </si>
  <si>
    <t>CSV files included separately</t>
  </si>
  <si>
    <t>Matching CSV files are also provided so you can practice folder-based Power Query imports.</t>
  </si>
  <si>
    <t>Dataset Summary</t>
  </si>
  <si>
    <t>Suggested next tabs</t>
  </si>
  <si>
    <t>Sales rows</t>
  </si>
  <si>
    <t>Clean_Data</t>
  </si>
  <si>
    <t>Inventory rows</t>
  </si>
  <si>
    <t>Exceptions</t>
  </si>
  <si>
    <t>Reference rows</t>
  </si>
  <si>
    <t>Summary</t>
  </si>
  <si>
    <t>Dashboard</t>
  </si>
  <si>
    <t>Raw_Sales</t>
  </si>
  <si>
    <t>Date</t>
  </si>
  <si>
    <t>Order_ID</t>
  </si>
  <si>
    <t>SKU</t>
  </si>
  <si>
    <t>Product</t>
  </si>
  <si>
    <t>Region</t>
  </si>
  <si>
    <t>Quantity</t>
  </si>
  <si>
    <t>Revenue</t>
  </si>
  <si>
    <t>ORD0001</t>
  </si>
  <si>
    <t>SKU01</t>
  </si>
  <si>
    <t>Laptop 14</t>
  </si>
  <si>
    <t>East</t>
  </si>
  <si>
    <t>ORD0002</t>
  </si>
  <si>
    <t>SKU10</t>
  </si>
  <si>
    <t>Mouse</t>
  </si>
  <si>
    <t>North</t>
  </si>
  <si>
    <t>ORD0003</t>
  </si>
  <si>
    <t>SKU02</t>
  </si>
  <si>
    <t>Laptop 16</t>
  </si>
  <si>
    <t>West</t>
  </si>
  <si>
    <t>ORD0004</t>
  </si>
  <si>
    <t>SKU04</t>
  </si>
  <si>
    <t>Phone Lite</t>
  </si>
  <si>
    <t>ORD0005</t>
  </si>
  <si>
    <t>SKU09</t>
  </si>
  <si>
    <t>Keyboard</t>
  </si>
  <si>
    <t>ORD0006</t>
  </si>
  <si>
    <t>SKU08</t>
  </si>
  <si>
    <t>Headphones</t>
  </si>
  <si>
    <t>South</t>
  </si>
  <si>
    <t>ORD0007</t>
  </si>
  <si>
    <t>ORD0008</t>
  </si>
  <si>
    <t>SKU12</t>
  </si>
  <si>
    <t>Webcam</t>
  </si>
  <si>
    <t>ORD0009</t>
  </si>
  <si>
    <t>ORD0010</t>
  </si>
  <si>
    <t>ORD0011</t>
  </si>
  <si>
    <t>SKU06</t>
  </si>
  <si>
    <t>Monitor 27</t>
  </si>
  <si>
    <t>ORD0012</t>
  </si>
  <si>
    <t>ORD0013</t>
  </si>
  <si>
    <t>ORD0014</t>
  </si>
  <si>
    <t>ORD0015</t>
  </si>
  <si>
    <t>ORD0016</t>
  </si>
  <si>
    <t>ORD0017</t>
  </si>
  <si>
    <t>ORD0018</t>
  </si>
  <si>
    <t>ORD0019</t>
  </si>
  <si>
    <t>ORD0020</t>
  </si>
  <si>
    <t>ORD0021</t>
  </si>
  <si>
    <t>ORD0022</t>
  </si>
  <si>
    <t>SKU03</t>
  </si>
  <si>
    <t>Phone Pro</t>
  </si>
  <si>
    <t>ORD0023</t>
  </si>
  <si>
    <t>SKU05</t>
  </si>
  <si>
    <t>Tablet 11</t>
  </si>
  <si>
    <t>ORD0024</t>
  </si>
  <si>
    <t>SKU07</t>
  </si>
  <si>
    <t>Monitor 32</t>
  </si>
  <si>
    <t>ORD0025</t>
  </si>
  <si>
    <t>ORD0026</t>
  </si>
  <si>
    <t>SKU11</t>
  </si>
  <si>
    <t>Docking Station</t>
  </si>
  <si>
    <t>ORD0027</t>
  </si>
  <si>
    <t>ORD0028</t>
  </si>
  <si>
    <t>ORD0029</t>
  </si>
  <si>
    <t>ORD0030</t>
  </si>
  <si>
    <t>ORD0031</t>
  </si>
  <si>
    <t>ORD0032</t>
  </si>
  <si>
    <t>ORD0033</t>
  </si>
  <si>
    <t>ORD0034</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</si>
  <si>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</si>
  <si>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</si>
  <si>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</si>
  <si>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</si>
  <si>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</si>
  <si>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</si>
  <si>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</si>
  <si>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</si>
  <si>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</si>
  <si>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</si>
  <si>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</si>
  <si>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</si>
  <si>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</si>
  <si>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</si>
  <si>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</si>
  <si>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</si>
  <si>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</si>
  <si>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</si>
  <si>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</si>
  <si>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</si>
  <si>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</si>
  <si>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</si>
  <si>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</si>
  <si>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</si>
  <si>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</si>
  <si>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</si>
  <si>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</si>
  <si>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</si>
  <si>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</si>
  <si>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</si>
  <si>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</si>
  <si>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</si>
  <si>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</si>
  <si>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</si>
  <si>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</si>
  <si>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</si>
  <si>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</si>
  <si>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</si>
  <si>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</si>
  <si>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</si>
  <si>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</si>
  <si>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</si>
  <si>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</si>
  <si>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</si>
  <si>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</si>
  <si>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</si>
  <si>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</si>
  <si>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</si>
  <si>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</si>
  <si>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</si>
  <si>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</si>
  <si>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</si>
  <si>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</si>
  <si>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</si>
  <si>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</si>
  <si>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</si>
  <si>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</si>
  <si>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</si>
  <si>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</si>
  <si>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</si>
  <si>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</si>
  <si>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</si>
  <si>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</si>
  <si>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</si>
  <si>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</si>
  <si>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</si>
  <si>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</si>
  <si>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</si>
  <si>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</si>
  <si>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</si>
  <si>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</si>
  <si>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</si>
  <si>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</si>
  <si>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</si>
  <si>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</si>
  <si>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</si>
  <si>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</si>
  <si>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</si>
  <si>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</si>
  <si>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</si>
  <si>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</si>
  <si>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</si>
  <si>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</si>
  <si>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</si>
  <si>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</si>
  <si>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</si>
  <si>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</si>
  <si>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</si>
  <si>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</si>
  <si>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</si>
  <si>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</si>
  <si>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</si>
  <si>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</si>
  <si>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</si>
  <si>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</si>
  <si>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</si>
  <si>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</si>
  <si>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</si>
  <si>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</si>
  <si>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</si>
  <si>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</si>
  <si>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</si>
  <si>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</si>
  <si>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</si>
  <si>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</si>
  <si>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</si>
  <si>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</si>
  <si>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</si>
  <si>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</si>
  <si>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</si>
  <si>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</si>
  <si>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</si>
  <si>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</si>
  <si>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</si>
  <si>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</si>
  <si>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</si>
  <si>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</si>
  <si>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</si>
  <si>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</si>
  <si>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</si>
  <si>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</si>
  <si>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</si>
  <si>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</si>
  <si>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</si>
  <si>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</si>
  <si>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</si>
  <si>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</si>
  <si>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</si>
  <si>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</si>
  <si>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</si>
  <si>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</si>
  <si>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</si>
  <si>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</si>
  <si>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</si>
  <si>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</si>
  <si>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</si>
  <si>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</si>
  <si>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</si>
  <si>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</si>
  <si>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</si>
  <si>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</si>
  <si>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</si>
  <si>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</si>
  <si>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</si>
  <si>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</si>
  <si>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</si>
  <si>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</si>
  <si>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</si>
  <si>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</si>
  <si>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</si>
  <si>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</si>
  <si>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</si>
  <si>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</si>
  <si>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</si>
  <si>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</si>
  <si>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</si>
  <si>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</si>
  <si>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</si>
  <si>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</si>
  <si>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</si>
  <si>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</si>
  <si>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</si>
  <si>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</si>
  <si>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</si>
  <si>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</si>
  <si>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</si>
  <si>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</si>
  <si>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</si>
  <si>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</si>
  <si>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</si>
  <si>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</si>
  <si>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</si>
  <si>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</si>
  <si>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</si>
  <si>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</si>
  <si>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</si>
  <si>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</si>
  <si>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</si>
  <si>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</si>
  <si>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</si>
  <si>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</si>
  <si>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</si>
  <si>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</si>
  <si>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</si>
  <si>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</si>
  <si>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</si>
  <si>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</si>
  <si>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</si>
  <si>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</si>
  <si>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</si>
  <si>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</si>
  <si>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</si>
  <si>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</si>
  <si>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</si>
  <si>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</si>
  <si>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</si>
  <si>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</si>
  <si>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</si>
  <si>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</si>
  <si>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</si>
  <si>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</si>
  <si>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</si>
  <si>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</si>
  <si>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</si>
  <si>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</si>
  <si>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</si>
  <si>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</si>
  <si>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</si>
  <si>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</si>
  <si>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</si>
  <si>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</si>
  <si>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</si>
  <si>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</si>
  <si>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</si>
  <si>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</si>
  <si>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</si>
  <si>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</si>
  <si>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</si>
  <si>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</si>
  <si>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</si>
  <si>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</si>
  <si>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</si>
  <si>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</si>
  <si>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</si>
  <si>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</si>
  <si>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</si>
  <si>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</si>
  <si>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</si>
  <si>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</si>
  <si>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</si>
  <si>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</si>
  <si>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</si>
  <si>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</si>
  <si>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</si>
  <si>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</si>
  <si>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</si>
  <si>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</si>
  <si>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</si>
  <si>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</si>
  <si>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</si>
  <si>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</si>
  <si>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</si>
  <si>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</si>
  <si>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</si>
  <si>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</si>
  <si>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</si>
  <si>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</si>
  <si>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</si>
  <si>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</si>
  <si>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</si>
  <si>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</si>
  <si>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</si>
  <si>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</si>
  <si>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</si>
  <si>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</si>
  <si>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</si>
  <si>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</si>
  <si>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</si>
  <si>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</si>
  <si>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</si>
  <si>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Raw_Inventory</t>
  </si>
  <si>
    <t>Warehouse</t>
  </si>
  <si>
    <t>Stock_On_Hand</t>
  </si>
  <si>
    <t>Reorder_Level</t>
  </si>
  <si>
    <t>WH1</t>
  </si>
  <si>
    <t>WH2</t>
  </si>
  <si>
    <t>WH3</t>
  </si>
  <si>
    <t>Reference_Data</t>
  </si>
  <si>
    <t>Category</t>
  </si>
  <si>
    <t>Supplier</t>
  </si>
  <si>
    <t>Cost</t>
  </si>
  <si>
    <t>Computers</t>
  </si>
  <si>
    <t>Dell</t>
  </si>
  <si>
    <t>HP</t>
  </si>
  <si>
    <t>Mobile</t>
  </si>
  <si>
    <t>Apple</t>
  </si>
  <si>
    <t>Samsung</t>
  </si>
  <si>
    <t>Tablets</t>
  </si>
  <si>
    <t>Displays</t>
  </si>
  <si>
    <t>LG</t>
  </si>
  <si>
    <t>Accessories</t>
  </si>
  <si>
    <t>Sony</t>
  </si>
  <si>
    <t>Logitech</t>
  </si>
  <si>
    <t>Peripherals</t>
  </si>
  <si>
    <t>Anker</t>
  </si>
  <si>
    <t>ORD0035</t>
  </si>
  <si>
    <t>Stock Risk</t>
  </si>
  <si>
    <t>Profit per Order</t>
  </si>
  <si>
    <t>Total Profit</t>
  </si>
  <si>
    <t>Revenue Category</t>
  </si>
  <si>
    <t>Healthy</t>
  </si>
  <si>
    <t>Low</t>
  </si>
  <si>
    <t>High</t>
  </si>
  <si>
    <t>Row Labels</t>
  </si>
  <si>
    <t>Grand Total</t>
  </si>
  <si>
    <t>Sum of Revenue</t>
  </si>
  <si>
    <t>Jan</t>
  </si>
  <si>
    <t>Feb</t>
  </si>
  <si>
    <t>Mar</t>
  </si>
  <si>
    <t>Sum of Quantity</t>
  </si>
  <si>
    <t>Low Stock Alerts</t>
  </si>
  <si>
    <t>Products</t>
  </si>
  <si>
    <t>Top 5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</si>
</sst>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quot;$&quot;* #,##0.00_-;_-&quot;$&quot;* &quot;-&quot;??_-;_-@_-"/>
    <numFmt numFmtId="164" formatCode="yyyy\-mm\-dd"/>
    <numFmt numFmtId="165" formatCode="\$#,##0.00"/>
    <numFmt numFmtId="166" formatCode="&quot;#&quot;0"/>
    <numFmt numFmtId="167" formatCode="&quot;$&quot;#,##0"/>
    <numFmt numFmtId="168" formatCode="&quot;$&quot;#,\k"/>
    <numFmt numFmtId="169" formatCode="&quot;$&quot;#,\K"/>
  </numFmts>
  <fonts count="23" x14ac:knownFonts="1">
    <font>
      <sz val="11"/>
      <color theme="1"/>
      <name val="Calibri"/>
      <family val="2"/>
      <scheme val="minor"/>
    </font>
    <font>
      <b/>
      <sz val="15"/>
      <color rgb="FFFFFFFF"/>
      <name val="Calibri"/>
    </font>
    <font>
      <b/>
      <sz val="11"/>
      <color rgb="FF666666"/>
      <name val="Calibri"/>
    </font>
    <font>
      <b/>
      <sz val="11"/>
      <color rgb="FFFFFFFF"/>
      <name val="Calibri"/>
    </font>
    <font>
      <b/>
      <sz val="14"/>
      <color rgb="FFFFFFFF"/>
      <name val="Calibri"/>
    </font>
    <font>
      <sz val="11"/>
      <color rgb="FF008000"/>
      <name val="Calibri"/>
    </font>
    <font>
      <i/>
      <sz val="11"/>
      <color rgb="FF666666"/>
      <name val="Calibri"/>
    </font>
    <font>
      <b/>
      <sz val="11"/>
      <color rgb="FF0F766E"/>
      <name val="Calibri"/>
    </font>
    <font>
      <sz val="11"/>
      <color rgb="FF008000"/>
      <name val="Calibri"/>
      <family val="2"/>
    </font>
    <font>
      <sz val="11"/>
      <color theme="1"/>
      <name val="Calibri"/>
      <family val="2"/>
      <scheme val="minor"/>
    </font>
    <font>
      <sz val="8"/>
      <name val="Calibri"/>
      <family val="2"/>
      <scheme val="minor"/>
    </font>
    <font>
      <b/>
      <sz val="20"/>
      <color theme="1"/>
      <name val="Calibri"/>
      <family val="2"/>
      <scheme val="minor"/>
    </font>
    <font>
      <b/>
      <sz val="26"/>
      <color theme="1"/>
      <name val="Calibri"/>
      <family val="2"/>
      <scheme val="minor"/>
    </font>
    <font>
      <b/>
      <sz val="24"/>
      <color theme="1"/>
      <name val="Calibri"/>
      <family val="2"/>
      <scheme val="minor"/>
    </font>
    <font>
      <sz val="11"/>
      <name val="Calibri"/>
      <family val="2"/>
      <scheme val="minor"/>
    </font>
    <font>
      <b/>
      <sz val="11"/>
      <color theme="1"/>
      <name val="Calibri"/>
      <family val="2"/>
      <scheme val="minor"/>
    </font>
    <font>
      <b/>
      <sz val="16"/>
      <color rgb="FFC00000"/>
      <name val="Calibri"/>
      <family val="2"/>
      <scheme val="minor"/>
    </font>
    <font>
      <b/>
      <sz val="16"/>
      <name val="Calibri"/>
      <family val="2"/>
      <scheme val="minor"/>
    </font>
    <font>
      <b/>
      <sz val="12"/>
      <name val="Calibri"/>
      <family val="2"/>
      <scheme val="minor"/>
    </font>
    <font>
      <b/>
      <sz val="16"/>
      <color theme="3"/>
      <name val="Calibri"/>
      <family val="2"/>
      <scheme val="minor"/>
    </font>
    <font>
      <sz val="11"/>
      <color theme="3"/>
      <name val="Calibri"/>
      <family val="2"/>
      <scheme val="minor"/>
    </font>
    <font>
      <sz val="12"/>
      <name val="Calibri"/>
      <family val="2"/>
      <scheme val="minor"/>
    </font>
    <font>
      <sz val="16"/>
      <name val="Calibri"/>
      <family val="2"/>
      <scheme val="minor"/>
    </font>
  </fonts>
  <fills count="9">
    <fill>
      <patternFill patternType="none"/>
    </fill>
    <fill>
      <patternFill patternType="gray125"/>
    </fill>
    <fill>
      <patternFill patternType="solid">
        <fgColor rgb="FF1F4E78"/>
      </patternFill>
    </fill>
    <fill>
      <patternFill patternType="solid">
        <fgColor rgb="FF0F766E"/>
      </patternFill>
    </fill>
    <fill>
      <patternFill patternType="solid">
        <fgColor rgb="FFF3F4F6"/>
      </patternFill>
    </fill>
    <fill>
      <patternFill patternType="solid">
        <fgColor rgb="FFD9EAF7"/>
      </patternFill>
    </fill>
    <fill>
      <patternFill patternType="solid">
        <fgColor rgb="FFE2F0D9"/>
      </patternFill>
    </fill>
    <fill>
      <patternFill patternType="solid">
        <fgColor theme="0"/>
        <bgColor indexed="64"/>
      </patternFill>
    </fill>
    <fill>
      <patternFill patternType="solid">
        <fgColor theme="0" tint="-4.9989318521683403E-2"/>
        <bgColor indexed="64"/>
      </patternFill>
    </fill>
  </fills>
  <borders count="10">
    <border>
      <left/>
      <right/>
      <top/>
      <bottom/>
      <diagonal/>
    </border>
    <border>
      <left/>
      <right/>
      <top/>
      <bottom style="thin">
        <color rgb="FF9CA3AF"/>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44" fontId="9" fillId="0" borderId="0" applyFont="0" applyFill="0" applyBorder="0" applyAlignment="0" applyProtection="0"/>
  </cellStyleXfs>
  <cellXfs count="61">
    <xf numFmtId="0" fontId="0" fillId="0" borderId="0" xfId="0"/>
    <xf numFmtId="0" fontId="0" fillId="0" borderId="0" xfId="0" applyAlignment="1">
      <alignment vertical="top" wrapText="1"/>
    </xf>
    <xf numFmtId="0" fontId="0" fillId="5" borderId="0" xfId="0" applyFill="1"/>
    <xf numFmtId="0" fontId="0" fillId="6" borderId="0" xfId="0" applyFill="1"/>
    <xf numFmtId="0" fontId="3" fillId="3" borderId="1" xfId="0" applyFont="1" applyFill="1" applyBorder="1" applyAlignment="1">
      <alignment horizontal="center" vertical="center"/>
    </xf>
    <xf numFmtId="0" fontId="0" fillId="0" borderId="0" xfId="0" applyAlignment="1">
      <alignment wrapText="1"/>
    </xf>
    <xf numFmtId="164" fontId="5" fillId="0" borderId="0" xfId="0" applyNumberFormat="1" applyFont="1"/>
    <xf numFmtId="0" fontId="5" fillId="0" borderId="0" xfId="0" applyFont="1"/>
    <xf numFmtId="3" fontId="5" fillId="0" borderId="0" xfId="0" applyNumberFormat="1" applyFont="1"/>
    <xf numFmtId="165" fontId="5" fillId="0" borderId="0" xfId="0" applyNumberFormat="1" applyFont="1"/>
    <xf numFmtId="0" fontId="2" fillId="4" borderId="0" xfId="0" applyFont="1" applyFill="1" applyAlignment="1">
      <alignment vertical="top" wrapText="1"/>
    </xf>
    <xf numFmtId="0" fontId="3" fillId="2" borderId="0" xfId="0" applyFont="1" applyFill="1"/>
    <xf numFmtId="0" fontId="7" fillId="0" borderId="0" xfId="0" applyFont="1"/>
    <xf numFmtId="0" fontId="8" fillId="0" borderId="0" xfId="0" applyFont="1"/>
    <xf numFmtId="22" fontId="0" fillId="0" borderId="0" xfId="0" applyNumberFormat="1"/>
    <xf numFmtId="0" fontId="0" fillId="0" borderId="0" xfId="0" pivotButton="1"/>
    <xf numFmtId="0" fontId="0" fillId="0" borderId="0" xfId="0" applyAlignment="1">
      <alignment horizontal="left"/>
    </xf>
    <xf numFmtId="0" fontId="11" fillId="0" borderId="0" xfId="0" applyFont="1" applyAlignment="1">
      <alignment horizontal="center" vertical="center"/>
    </xf>
    <xf numFmtId="44" fontId="11" fillId="7" borderId="0" xfId="1" applyFont="1" applyFill="1" applyBorder="1" applyAlignment="1">
      <alignment horizontal="center"/>
    </xf>
    <xf numFmtId="44" fontId="11" fillId="0" borderId="0" xfId="1" applyFont="1" applyBorder="1" applyAlignment="1">
      <alignment horizontal="center" vertical="center"/>
    </xf>
    <xf numFmtId="1" fontId="0" fillId="0" borderId="0" xfId="0" applyNumberFormat="1"/>
    <xf numFmtId="0" fontId="0" fillId="0" borderId="0" xfId="0" applyAlignment="1">
      <alignment horizontal="left" vertical="center"/>
    </xf>
    <xf numFmtId="166" fontId="12" fillId="0" borderId="0" xfId="0" applyNumberFormat="1" applyFont="1" applyAlignment="1">
      <alignment horizontal="center" vertical="center"/>
    </xf>
    <xf numFmtId="0" fontId="14" fillId="0" borderId="0" xfId="0" applyFont="1"/>
    <xf numFmtId="0" fontId="17" fillId="0" borderId="0" xfId="0" applyFont="1"/>
    <xf numFmtId="0" fontId="15" fillId="7" borderId="0" xfId="0" applyFont="1" applyFill="1" applyAlignment="1">
      <alignment horizontal="center"/>
    </xf>
    <xf numFmtId="0" fontId="14" fillId="0" borderId="5" xfId="0" applyFont="1" applyBorder="1"/>
    <xf numFmtId="0" fontId="14" fillId="0" borderId="6" xfId="0" applyFont="1" applyBorder="1"/>
    <xf numFmtId="0" fontId="18" fillId="8" borderId="5" xfId="0" applyFont="1" applyFill="1" applyBorder="1" applyAlignment="1">
      <alignment horizontal="center"/>
    </xf>
    <xf numFmtId="0" fontId="18" fillId="8" borderId="0" xfId="0" applyFont="1" applyFill="1" applyAlignment="1">
      <alignment horizontal="center"/>
    </xf>
    <xf numFmtId="0" fontId="0" fillId="0" borderId="6" xfId="0" applyBorder="1"/>
    <xf numFmtId="0" fontId="18" fillId="8" borderId="6" xfId="0" applyFont="1" applyFill="1" applyBorder="1" applyAlignment="1">
      <alignment horizontal="center" vertical="center"/>
    </xf>
    <xf numFmtId="0" fontId="14" fillId="0" borderId="7" xfId="0" applyFont="1" applyBorder="1" applyAlignment="1">
      <alignment horizontal="center"/>
    </xf>
    <xf numFmtId="0" fontId="0" fillId="0" borderId="9" xfId="0" applyBorder="1" applyAlignment="1">
      <alignment horizontal="center" vertical="center"/>
    </xf>
    <xf numFmtId="167" fontId="0" fillId="0" borderId="0" xfId="0" applyNumberFormat="1"/>
    <xf numFmtId="0" fontId="14" fillId="0" borderId="5" xfId="0" applyFont="1" applyBorder="1" applyAlignment="1">
      <alignment horizontal="center"/>
    </xf>
    <xf numFmtId="0" fontId="0" fillId="0" borderId="6" xfId="0" applyBorder="1" applyAlignment="1">
      <alignment horizontal="center" vertical="center"/>
    </xf>
    <xf numFmtId="167" fontId="0" fillId="0" borderId="8" xfId="0" applyNumberFormat="1" applyBorder="1"/>
    <xf numFmtId="0" fontId="21" fillId="8" borderId="5" xfId="0" applyFont="1" applyFill="1" applyBorder="1" applyAlignment="1">
      <alignment horizontal="center"/>
    </xf>
    <xf numFmtId="0" fontId="21" fillId="8" borderId="0" xfId="0" applyFont="1" applyFill="1" applyAlignment="1">
      <alignment horizontal="center"/>
    </xf>
    <xf numFmtId="0" fontId="21" fillId="8" borderId="6" xfId="0" applyFont="1" applyFill="1" applyBorder="1" applyAlignment="1">
      <alignment horizontal="center"/>
    </xf>
    <xf numFmtId="168" fontId="0" fillId="0" borderId="0" xfId="0" applyNumberFormat="1"/>
    <xf numFmtId="169" fontId="12" fillId="0" borderId="0" xfId="1" applyNumberFormat="1" applyFont="1" applyBorder="1" applyAlignment="1">
      <alignment horizontal="center" vertical="center"/>
    </xf>
    <xf numFmtId="169" fontId="13" fillId="0" borderId="0" xfId="1" applyNumberFormat="1" applyFont="1"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16" fillId="0" borderId="2" xfId="0" applyFont="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19" fillId="0" borderId="2" xfId="0" applyFont="1" applyBorder="1" applyAlignment="1">
      <alignment horizontal="center"/>
    </xf>
    <xf numFmtId="0" fontId="20" fillId="0" borderId="3" xfId="0" applyFont="1" applyBorder="1" applyAlignment="1">
      <alignment horizontal="center"/>
    </xf>
    <xf numFmtId="0" fontId="20" fillId="0" borderId="4" xfId="0" applyFont="1" applyBorder="1" applyAlignment="1">
      <alignment horizontal="center"/>
    </xf>
    <xf numFmtId="0" fontId="6" fillId="0" borderId="0" xfId="0" applyFont="1"/>
    <xf numFmtId="0" fontId="0" fillId="0" borderId="0" xfId="0"/>
    <xf numFmtId="0" fontId="1" fillId="2" borderId="0" xfId="0" applyFont="1" applyFill="1"/>
    <xf numFmtId="0" fontId="3" fillId="3" borderId="0" xfId="0" applyFont="1" applyFill="1"/>
    <xf numFmtId="0" fontId="4" fillId="2" borderId="0" xfId="0" applyFont="1" applyFill="1"/>
    <xf numFmtId="0" fontId="0" fillId="0" borderId="0" xfId="0" applyNumberFormat="1"/>
    <xf numFmtId="0" fontId="22" fillId="0" borderId="5" xfId="0" applyFont="1" applyBorder="1" applyAlignment="1">
      <alignment horizontal="center" vertical="center"/>
    </xf>
  </cellXfs>
  <cellStyles count="2">
    <cellStyle name="Currency" xfId="1" builtinId="4"/>
    <cellStyle name="Normal" xfId="0" builtinId="0"/>
  </cellStyles>
  <dxfs count="36">
    <dxf>
      <numFmt numFmtId="1" formatCode="0"/>
    </dxf>
    <dxf>
      <numFmt numFmtId="1" formatCode="0"/>
    </dxf>
    <dxf>
      <numFmt numFmtId="168" formatCode="&quot;$&quot;#,\k"/>
    </dxf>
    <dxf>
      <numFmt numFmtId="1" formatCode="0"/>
    </dxf>
    <dxf>
      <numFmt numFmtId="1" formatCode="0"/>
    </dxf>
    <dxf>
      <numFmt numFmtId="168" formatCode="&quot;$&quot;#,\k"/>
    </dxf>
    <dxf>
      <numFmt numFmtId="1" formatCode="0"/>
    </dxf>
    <dxf>
      <numFmt numFmtId="1" formatCode="0"/>
    </dxf>
    <dxf>
      <numFmt numFmtId="168" formatCode="&quot;$&quot;#,\k"/>
    </dxf>
    <dxf>
      <numFmt numFmtId="1" formatCode="0"/>
    </dxf>
    <dxf>
      <numFmt numFmtId="1" formatCode="0"/>
    </dxf>
    <dxf>
      <numFmt numFmtId="168" formatCode="&quot;$&quot;#,\k"/>
    </dxf>
    <dxf>
      <numFmt numFmtId="1" formatCode="0"/>
    </dxf>
    <dxf>
      <numFmt numFmtId="1" formatCode="0"/>
    </dxf>
    <dxf>
      <numFmt numFmtId="168" formatCode="&quot;$&quot;#,\k"/>
    </dxf>
    <dxf>
      <numFmt numFmtId="1" formatCode="0"/>
    </dxf>
    <dxf>
      <numFmt numFmtId="1" formatCode="0"/>
    </dxf>
    <dxf>
      <numFmt numFmtId="168" formatCode="&quot;$&quot;#,\k"/>
    </dxf>
    <dxf>
      <numFmt numFmtId="1" formatCode="0"/>
    </dxf>
    <dxf>
      <numFmt numFmtId="1" formatCode="0"/>
    </dxf>
    <dxf>
      <numFmt numFmtId="168" formatCode="&quot;$&quot;#,\k"/>
    </dxf>
    <dxf>
      <numFmt numFmtId="27" formatCode="yyyy/mm/dd\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8" formatCode="&quot;$&quot;#,\k"/>
    </dxf>
    <dxf>
      <numFmt numFmtId="1" formatCode="0"/>
    </dxf>
    <dxf>
      <numFmt numFmtId="1" formatCode="0"/>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[Dashboard.xlsx]Revenue By Region!PivotTable1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rgbClr val="002060"/>
                </a:solidFill>
              </a:rPr>
              <a:t>Revenue By Region</a:t>
            </a:r>
          </a:p>
        </c:rich>
      </c:tx>
      <c:layout>
        <c:manualLayout>
          <c:xMode val="edge"/>
          <c:yMode val="edge"/>
          <c:x val="0.25161111111111112"/>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Region'!$A$4:$A$8</c:f>
              <c:strCache>
                <c:ptCount val="4"/>
                <c:pt idx="0">
                  <c:v>East</c:v>
                </c:pt>
                <c:pt idx="1">
                  <c:v>North</c:v>
                </c:pt>
                <c:pt idx="2">
                  <c:v>South</c:v>
                </c:pt>
                <c:pt idx="3">
                  <c:v>West</c:v>
                </c:pt>
              </c:strCache>
            </c:strRef>
          </c:cat>
          <c:val>
            <c:numRef>
              <c:f>'Revenue By Region'!$B$4:$B$8</c:f>
              <c:numCache>
                <c:formatCode>0</c:formatCode>
                <c:ptCount val="4"/>
                <c:pt idx="0">
                  <c:v>74436</c:v>
                </c:pt>
                <c:pt idx="1">
                  <c:v>82820.000000000015</c:v>
                </c:pt>
                <c:pt idx="2">
                  <c:v>99258.319999999992</c:v>
                </c:pt>
                <c:pt idx="3">
                  <c:v>116584.38000000005</c:v>
                </c:pt>
              </c:numCache>
            </c:numRef>
          </c:val>
          <c:extLst>
            <c:ext xmlns:c16="http://schemas.microsoft.com/office/drawing/2014/chart" uri="{C3380CC4-5D6E-409C-BE32-E72D297353CC}">
              <c16:uniqueId val="{00000000-6AC9-49C4-A401-D7470EFB7E93}"/>
            </c:ext>
          </c:extLst>
        </c:ser>
        <c:dLbls>
          <c:dLblPos val="outEnd"/>
          <c:showLegendKey val="0"/>
          <c:showVal val="1"/>
          <c:showCatName val="0"/>
          <c:showSerName val="0"/>
          <c:showPercent val="0"/>
          <c:showBubbleSize val="0"/>
        </c:dLbls>
        <c:gapWidth val="182"/>
        <c:axId val="644071183"/>
        <c:axId val="644072623"/>
      </c:barChart>
      <c:valAx>
        <c:axId val="644072623"/>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071183"/>
        <c:crosses val="autoZero"/>
        <c:crossBetween val="between"/>
      </c:valAx>
      <c:catAx>
        <c:axId val="644071183"/>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07262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 Trend!PivotTable2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2"/>
                </a:solidFill>
              </a:rPr>
              <a:t>Sales Trend Over Time</a:t>
            </a:r>
          </a:p>
        </c:rich>
      </c:tx>
      <c:layout>
        <c:manualLayout>
          <c:xMode val="edge"/>
          <c:yMode val="edge"/>
          <c:x val="0.24986111111111112"/>
          <c:y val="6.48148148148148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8833333333333335E-2"/>
              <c:y val="6.7164260717410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46981627296589"/>
          <c:y val="0.26328484981044037"/>
          <c:w val="0.6965853018372703"/>
          <c:h val="0.53774387576552929"/>
        </c:manualLayout>
      </c:layout>
      <c:lineChart>
        <c:grouping val="standard"/>
        <c:varyColors val="0"/>
        <c:ser>
          <c:idx val="0"/>
          <c:order val="0"/>
          <c:tx>
            <c:strRef>
              <c:f>'Sales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1"/>
              <c:layout>
                <c:manualLayout>
                  <c:x val="-5.8833333333333335E-2"/>
                  <c:y val="6.71642607174103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CD-4F52-873C-68DF21250B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Trend'!$A$4:$A$7</c:f>
              <c:strCache>
                <c:ptCount val="3"/>
                <c:pt idx="0">
                  <c:v>Jan</c:v>
                </c:pt>
                <c:pt idx="1">
                  <c:v>Feb</c:v>
                </c:pt>
                <c:pt idx="2">
                  <c:v>Mar</c:v>
                </c:pt>
              </c:strCache>
            </c:strRef>
          </c:cat>
          <c:val>
            <c:numRef>
              <c:f>'Sales Trend'!$B$4:$B$7</c:f>
              <c:numCache>
                <c:formatCode>0</c:formatCode>
                <c:ptCount val="3"/>
                <c:pt idx="0">
                  <c:v>141782.72000000003</c:v>
                </c:pt>
                <c:pt idx="1">
                  <c:v>101302.21999999999</c:v>
                </c:pt>
                <c:pt idx="2">
                  <c:v>130013.76000000004</c:v>
                </c:pt>
              </c:numCache>
            </c:numRef>
          </c:val>
          <c:smooth val="0"/>
          <c:extLst>
            <c:ext xmlns:c16="http://schemas.microsoft.com/office/drawing/2014/chart" uri="{C3380CC4-5D6E-409C-BE32-E72D297353CC}">
              <c16:uniqueId val="{00000000-4F96-4916-BDCF-603CCE0B38B8}"/>
            </c:ext>
          </c:extLst>
        </c:ser>
        <c:dLbls>
          <c:showLegendKey val="0"/>
          <c:showVal val="0"/>
          <c:showCatName val="0"/>
          <c:showSerName val="0"/>
          <c:showPercent val="0"/>
          <c:showBubbleSize val="0"/>
        </c:dLbls>
        <c:marker val="1"/>
        <c:smooth val="0"/>
        <c:axId val="644075023"/>
        <c:axId val="644074063"/>
      </c:lineChart>
      <c:catAx>
        <c:axId val="64407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074063"/>
        <c:crosses val="autoZero"/>
        <c:auto val="1"/>
        <c:lblAlgn val="ctr"/>
        <c:lblOffset val="100"/>
        <c:noMultiLvlLbl val="0"/>
      </c:catAx>
      <c:valAx>
        <c:axId val="644074063"/>
        <c:scaling>
          <c:orientation val="minMax"/>
        </c:scaling>
        <c:delete val="1"/>
        <c:axPos val="l"/>
        <c:numFmt formatCode="0" sourceLinked="1"/>
        <c:majorTickMark val="none"/>
        <c:minorTickMark val="none"/>
        <c:tickLblPos val="nextTo"/>
        <c:crossAx val="644075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 Trend!PivotTable2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Sales Trend Over Time</a:t>
            </a:r>
          </a:p>
        </c:rich>
      </c:tx>
      <c:layout>
        <c:manualLayout>
          <c:xMode val="edge"/>
          <c:yMode val="edge"/>
          <c:x val="0.27288785743887273"/>
          <c:y val="5.97616320687186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480349344978165"/>
              <c:y val="5.4545454545454543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4235807860262015E-2"/>
              <c:y val="-5.4545454545454543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222707423580786"/>
              <c:y val="-5.0000000000000044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983894764633721E-2"/>
          <c:y val="0.25837613977711027"/>
          <c:w val="0.90268679432822374"/>
          <c:h val="0.61044026945841712"/>
        </c:manualLayout>
      </c:layout>
      <c:lineChart>
        <c:grouping val="standard"/>
        <c:varyColors val="0"/>
        <c:ser>
          <c:idx val="0"/>
          <c:order val="0"/>
          <c:tx>
            <c:strRef>
              <c:f>'Sales Trend'!$B$3</c:f>
              <c:strCache>
                <c:ptCount val="1"/>
                <c:pt idx="0">
                  <c:v>Total</c:v>
                </c:pt>
              </c:strCache>
            </c:strRef>
          </c:tx>
          <c:spPr>
            <a:ln w="31750"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31750" cap="rnd">
                <a:solidFill>
                  <a:schemeClr val="accent1"/>
                </a:solidFill>
                <a:round/>
              </a:ln>
              <a:effectLst/>
            </c:spPr>
            <c:extLst>
              <c:ext xmlns:c16="http://schemas.microsoft.com/office/drawing/2014/chart" uri="{C3380CC4-5D6E-409C-BE32-E72D297353CC}">
                <c16:uniqueId val="{00000003-23B9-4E3F-9AEF-562B43DD36E3}"/>
              </c:ext>
            </c:extLst>
          </c:dPt>
          <c:dPt>
            <c:idx val="1"/>
            <c:marker>
              <c:symbol val="circle"/>
              <c:size val="5"/>
              <c:spPr>
                <a:solidFill>
                  <a:schemeClr val="accent1"/>
                </a:solidFill>
                <a:ln w="9525">
                  <a:solidFill>
                    <a:schemeClr val="accent1"/>
                  </a:solidFill>
                </a:ln>
                <a:effectLst/>
              </c:spPr>
            </c:marker>
            <c:bubble3D val="0"/>
            <c:spPr>
              <a:ln w="31750" cap="rnd">
                <a:solidFill>
                  <a:schemeClr val="accent1"/>
                </a:solidFill>
                <a:round/>
              </a:ln>
              <a:effectLst/>
            </c:spPr>
            <c:extLst>
              <c:ext xmlns:c16="http://schemas.microsoft.com/office/drawing/2014/chart" uri="{C3380CC4-5D6E-409C-BE32-E72D297353CC}">
                <c16:uniqueId val="{00000001-23B9-4E3F-9AEF-562B43DD36E3}"/>
              </c:ext>
            </c:extLst>
          </c:dPt>
          <c:dPt>
            <c:idx val="2"/>
            <c:marker>
              <c:symbol val="circle"/>
              <c:size val="5"/>
              <c:spPr>
                <a:solidFill>
                  <a:schemeClr val="accent1"/>
                </a:solidFill>
                <a:ln w="9525">
                  <a:solidFill>
                    <a:schemeClr val="accent1"/>
                  </a:solidFill>
                </a:ln>
                <a:effectLst/>
              </c:spPr>
            </c:marker>
            <c:bubble3D val="0"/>
            <c:spPr>
              <a:ln w="31750" cap="rnd">
                <a:solidFill>
                  <a:schemeClr val="accent1"/>
                </a:solidFill>
                <a:round/>
              </a:ln>
              <a:effectLst/>
            </c:spPr>
            <c:extLst>
              <c:ext xmlns:c16="http://schemas.microsoft.com/office/drawing/2014/chart" uri="{C3380CC4-5D6E-409C-BE32-E72D297353CC}">
                <c16:uniqueId val="{00000002-23B9-4E3F-9AEF-562B43DD36E3}"/>
              </c:ext>
            </c:extLst>
          </c:dPt>
          <c:dLbls>
            <c:dLbl>
              <c:idx val="0"/>
              <c:layout>
                <c:manualLayout>
                  <c:x val="-0.1222707423580786"/>
                  <c:y val="-5.00000000000000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3B9-4E3F-9AEF-562B43DD36E3}"/>
                </c:ext>
              </c:extLst>
            </c:dLbl>
            <c:dLbl>
              <c:idx val="1"/>
              <c:layout>
                <c:manualLayout>
                  <c:x val="-0.10480349344978165"/>
                  <c:y val="5.45454545454545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3B9-4E3F-9AEF-562B43DD36E3}"/>
                </c:ext>
              </c:extLst>
            </c:dLbl>
            <c:dLbl>
              <c:idx val="2"/>
              <c:layout>
                <c:manualLayout>
                  <c:x val="-7.4235807860262015E-2"/>
                  <c:y val="-5.45454545454545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3B9-4E3F-9AEF-562B43DD36E3}"/>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Trend'!$A$4:$A$7</c:f>
              <c:strCache>
                <c:ptCount val="3"/>
                <c:pt idx="0">
                  <c:v>Jan</c:v>
                </c:pt>
                <c:pt idx="1">
                  <c:v>Feb</c:v>
                </c:pt>
                <c:pt idx="2">
                  <c:v>Mar</c:v>
                </c:pt>
              </c:strCache>
            </c:strRef>
          </c:cat>
          <c:val>
            <c:numRef>
              <c:f>'Sales Trend'!$B$4:$B$7</c:f>
              <c:numCache>
                <c:formatCode>0</c:formatCode>
                <c:ptCount val="3"/>
                <c:pt idx="0">
                  <c:v>141782.72000000003</c:v>
                </c:pt>
                <c:pt idx="1">
                  <c:v>101302.21999999999</c:v>
                </c:pt>
                <c:pt idx="2">
                  <c:v>130013.76000000004</c:v>
                </c:pt>
              </c:numCache>
            </c:numRef>
          </c:val>
          <c:smooth val="0"/>
          <c:extLst>
            <c:ext xmlns:c16="http://schemas.microsoft.com/office/drawing/2014/chart" uri="{C3380CC4-5D6E-409C-BE32-E72D297353CC}">
              <c16:uniqueId val="{00000000-23B9-4E3F-9AEF-562B43DD36E3}"/>
            </c:ext>
          </c:extLst>
        </c:ser>
        <c:dLbls>
          <c:showLegendKey val="0"/>
          <c:showVal val="0"/>
          <c:showCatName val="0"/>
          <c:showSerName val="0"/>
          <c:showPercent val="0"/>
          <c:showBubbleSize val="0"/>
        </c:dLbls>
        <c:marker val="1"/>
        <c:smooth val="0"/>
        <c:axId val="644075023"/>
        <c:axId val="644074063"/>
      </c:lineChart>
      <c:catAx>
        <c:axId val="64407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074063"/>
        <c:crosses val="autoZero"/>
        <c:auto val="1"/>
        <c:lblAlgn val="ctr"/>
        <c:lblOffset val="100"/>
        <c:noMultiLvlLbl val="0"/>
      </c:catAx>
      <c:valAx>
        <c:axId val="644074063"/>
        <c:scaling>
          <c:orientation val="minMax"/>
        </c:scaling>
        <c:delete val="0"/>
        <c:axPos val="l"/>
        <c:numFmt formatCode="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075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[Dashboard.xlsx]Revenue By Region!PivotTable1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Revenue By Region</a:t>
            </a:r>
          </a:p>
        </c:rich>
      </c:tx>
      <c:layout>
        <c:manualLayout>
          <c:xMode val="edge"/>
          <c:yMode val="edge"/>
          <c:x val="0.25161111111111112"/>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Region'!$B$3</c:f>
              <c:strCache>
                <c:ptCount val="1"/>
                <c:pt idx="0">
                  <c:v>Total</c:v>
                </c:pt>
              </c:strCache>
            </c:strRef>
          </c:tx>
          <c:spPr>
            <a:solidFill>
              <a:schemeClr val="accent1"/>
            </a:solidFill>
            <a:ln>
              <a:noFill/>
            </a:ln>
            <a:effectLst/>
          </c:spPr>
          <c:invertIfNegative val="0"/>
          <c:dLbls>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Region'!$A$4:$A$8</c:f>
              <c:strCache>
                <c:ptCount val="4"/>
                <c:pt idx="0">
                  <c:v>East</c:v>
                </c:pt>
                <c:pt idx="1">
                  <c:v>North</c:v>
                </c:pt>
                <c:pt idx="2">
                  <c:v>South</c:v>
                </c:pt>
                <c:pt idx="3">
                  <c:v>West</c:v>
                </c:pt>
              </c:strCache>
            </c:strRef>
          </c:cat>
          <c:val>
            <c:numRef>
              <c:f>'Revenue By Region'!$B$4:$B$8</c:f>
              <c:numCache>
                <c:formatCode>0</c:formatCode>
                <c:ptCount val="4"/>
                <c:pt idx="0">
                  <c:v>74436</c:v>
                </c:pt>
                <c:pt idx="1">
                  <c:v>82820.000000000015</c:v>
                </c:pt>
                <c:pt idx="2">
                  <c:v>99258.319999999992</c:v>
                </c:pt>
                <c:pt idx="3">
                  <c:v>116584.38000000005</c:v>
                </c:pt>
              </c:numCache>
            </c:numRef>
          </c:val>
          <c:extLst>
            <c:ext xmlns:c16="http://schemas.microsoft.com/office/drawing/2014/chart" uri="{C3380CC4-5D6E-409C-BE32-E72D297353CC}">
              <c16:uniqueId val="{00000000-964B-4EB4-BD6D-1FC91F9AF476}"/>
            </c:ext>
          </c:extLst>
        </c:ser>
        <c:dLbls>
          <c:dLblPos val="outEnd"/>
          <c:showLegendKey val="0"/>
          <c:showVal val="1"/>
          <c:showCatName val="0"/>
          <c:showSerName val="0"/>
          <c:showPercent val="0"/>
          <c:showBubbleSize val="0"/>
        </c:dLbls>
        <c:gapWidth val="182"/>
        <c:axId val="644071183"/>
        <c:axId val="644072623"/>
      </c:barChart>
      <c:valAx>
        <c:axId val="644072623"/>
        <c:scaling>
          <c:orientation val="minMax"/>
        </c:scaling>
        <c:delete val="1"/>
        <c:axPos val="b"/>
        <c:numFmt formatCode="0" sourceLinked="1"/>
        <c:majorTickMark val="out"/>
        <c:minorTickMark val="none"/>
        <c:tickLblPos val="nextTo"/>
        <c:crossAx val="644071183"/>
        <c:crosses val="autoZero"/>
        <c:crossBetween val="between"/>
      </c:valAx>
      <c:catAx>
        <c:axId val="644071183"/>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07262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[Dashboard.xlsx]Category!PivotTable2</c:name>
    <c:fmtId val="5"/>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600" b="1">
                <a:solidFill>
                  <a:sysClr val="windowText" lastClr="000000"/>
                </a:solidFill>
              </a:rPr>
              <a:t>Category Performance</a:t>
            </a:r>
          </a:p>
        </c:rich>
      </c:tx>
      <c:layout>
        <c:manualLayout>
          <c:xMode val="edge"/>
          <c:yMode val="edge"/>
          <c:x val="0.21862079153801836"/>
          <c:y val="4.5454545454545456E-2"/>
        </c:manualLayout>
      </c:layout>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20631096486073"/>
          <c:y val="0.17374999999999999"/>
          <c:w val="0.74574891291573631"/>
          <c:h val="0.76606481481481481"/>
        </c:manualLayout>
      </c:layout>
      <c:barChart>
        <c:barDir val="bar"/>
        <c:grouping val="clustered"/>
        <c:varyColors val="0"/>
        <c:ser>
          <c:idx val="0"/>
          <c:order val="0"/>
          <c:tx>
            <c:strRef>
              <c:f>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Category!$A$4:$A$10</c:f>
              <c:strCache>
                <c:ptCount val="6"/>
                <c:pt idx="0">
                  <c:v>Peripherals</c:v>
                </c:pt>
                <c:pt idx="1">
                  <c:v>Accessories</c:v>
                </c:pt>
                <c:pt idx="2">
                  <c:v>Tablets</c:v>
                </c:pt>
                <c:pt idx="3">
                  <c:v>Displays</c:v>
                </c:pt>
                <c:pt idx="4">
                  <c:v>Mobile</c:v>
                </c:pt>
                <c:pt idx="5">
                  <c:v>Computers</c:v>
                </c:pt>
              </c:strCache>
            </c:strRef>
          </c:cat>
          <c:val>
            <c:numRef>
              <c:f>Category!$B$4:$B$10</c:f>
              <c:numCache>
                <c:formatCode>"$"#,\k</c:formatCode>
                <c:ptCount val="6"/>
                <c:pt idx="0">
                  <c:v>14501.549999999996</c:v>
                </c:pt>
                <c:pt idx="1">
                  <c:v>21880.720000000001</c:v>
                </c:pt>
                <c:pt idx="2">
                  <c:v>34831.17</c:v>
                </c:pt>
                <c:pt idx="3">
                  <c:v>45400.949999999983</c:v>
                </c:pt>
                <c:pt idx="4">
                  <c:v>113192.36999999998</c:v>
                </c:pt>
                <c:pt idx="5">
                  <c:v>143291.94</c:v>
                </c:pt>
              </c:numCache>
            </c:numRef>
          </c:val>
          <c:extLst>
            <c:ext xmlns:c16="http://schemas.microsoft.com/office/drawing/2014/chart" uri="{C3380CC4-5D6E-409C-BE32-E72D297353CC}">
              <c16:uniqueId val="{00000000-BE73-4CBA-84D2-E3CE0D82CFFD}"/>
            </c:ext>
          </c:extLst>
        </c:ser>
        <c:dLbls>
          <c:dLblPos val="outEnd"/>
          <c:showLegendKey val="0"/>
          <c:showVal val="1"/>
          <c:showCatName val="0"/>
          <c:showSerName val="0"/>
          <c:showPercent val="0"/>
          <c:showBubbleSize val="0"/>
        </c:dLbls>
        <c:gapWidth val="182"/>
        <c:axId val="1480613119"/>
        <c:axId val="1480614079"/>
      </c:barChart>
      <c:catAx>
        <c:axId val="148061311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614079"/>
        <c:crosses val="autoZero"/>
        <c:auto val="1"/>
        <c:lblAlgn val="ctr"/>
        <c:lblOffset val="100"/>
        <c:noMultiLvlLbl val="0"/>
      </c:catAx>
      <c:valAx>
        <c:axId val="1480614079"/>
        <c:scaling>
          <c:orientation val="minMax"/>
        </c:scaling>
        <c:delete val="0"/>
        <c:axPos val="b"/>
        <c:numFmt formatCode="&quot;$&quot;#,\k"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61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[Dashboard.xlsx]Product!PivotTable1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Product!$B$3</c:f>
              <c:strCache>
                <c:ptCount val="1"/>
                <c:pt idx="0">
                  <c:v>Sum of Revenue</c:v>
                </c:pt>
              </c:strCache>
            </c:strRef>
          </c:tx>
          <c:spPr>
            <a:solidFill>
              <a:schemeClr val="accent1"/>
            </a:solidFill>
            <a:ln>
              <a:noFill/>
            </a:ln>
            <a:effectLst/>
          </c:spPr>
          <c:invertIfNegative val="0"/>
          <c:cat>
            <c:strRef>
              <c:f>Product!$A$4:$A$9</c:f>
              <c:strCache>
                <c:ptCount val="5"/>
                <c:pt idx="0">
                  <c:v>Laptop 14</c:v>
                </c:pt>
                <c:pt idx="1">
                  <c:v>Phone Pro</c:v>
                </c:pt>
                <c:pt idx="2">
                  <c:v>Laptop 16</c:v>
                </c:pt>
                <c:pt idx="3">
                  <c:v>Phone Lite</c:v>
                </c:pt>
                <c:pt idx="4">
                  <c:v>Tablet 11</c:v>
                </c:pt>
              </c:strCache>
            </c:strRef>
          </c:cat>
          <c:val>
            <c:numRef>
              <c:f>Product!$B$4:$B$9</c:f>
              <c:numCache>
                <c:formatCode>General</c:formatCode>
                <c:ptCount val="5"/>
                <c:pt idx="0">
                  <c:v>80812.600000000006</c:v>
                </c:pt>
                <c:pt idx="1">
                  <c:v>68311.62</c:v>
                </c:pt>
                <c:pt idx="2">
                  <c:v>62479.340000000004</c:v>
                </c:pt>
                <c:pt idx="3">
                  <c:v>44880.75</c:v>
                </c:pt>
                <c:pt idx="4">
                  <c:v>34831.17</c:v>
                </c:pt>
              </c:numCache>
            </c:numRef>
          </c:val>
          <c:extLst>
            <c:ext xmlns:c16="http://schemas.microsoft.com/office/drawing/2014/chart" uri="{C3380CC4-5D6E-409C-BE32-E72D297353CC}">
              <c16:uniqueId val="{00000000-C47D-4613-8C40-1C8B28F6118C}"/>
            </c:ext>
          </c:extLst>
        </c:ser>
        <c:ser>
          <c:idx val="1"/>
          <c:order val="1"/>
          <c:tx>
            <c:strRef>
              <c:f>Product!$C$3</c:f>
              <c:strCache>
                <c:ptCount val="1"/>
                <c:pt idx="0">
                  <c:v>Sum of Quantity</c:v>
                </c:pt>
              </c:strCache>
            </c:strRef>
          </c:tx>
          <c:spPr>
            <a:solidFill>
              <a:schemeClr val="accent2"/>
            </a:solidFill>
            <a:ln>
              <a:noFill/>
            </a:ln>
            <a:effectLst/>
          </c:spPr>
          <c:invertIfNegative val="0"/>
          <c:cat>
            <c:strRef>
              <c:f>Product!$A$4:$A$9</c:f>
              <c:strCache>
                <c:ptCount val="5"/>
                <c:pt idx="0">
                  <c:v>Laptop 14</c:v>
                </c:pt>
                <c:pt idx="1">
                  <c:v>Phone Pro</c:v>
                </c:pt>
                <c:pt idx="2">
                  <c:v>Laptop 16</c:v>
                </c:pt>
                <c:pt idx="3">
                  <c:v>Phone Lite</c:v>
                </c:pt>
                <c:pt idx="4">
                  <c:v>Tablet 11</c:v>
                </c:pt>
              </c:strCache>
            </c:strRef>
          </c:cat>
          <c:val>
            <c:numRef>
              <c:f>Product!$C$4:$C$9</c:f>
              <c:numCache>
                <c:formatCode>General</c:formatCode>
                <c:ptCount val="5"/>
                <c:pt idx="0">
                  <c:v>68</c:v>
                </c:pt>
                <c:pt idx="1">
                  <c:v>69</c:v>
                </c:pt>
                <c:pt idx="2">
                  <c:v>45</c:v>
                </c:pt>
                <c:pt idx="3">
                  <c:v>82</c:v>
                </c:pt>
                <c:pt idx="4">
                  <c:v>50</c:v>
                </c:pt>
              </c:numCache>
            </c:numRef>
          </c:val>
          <c:extLst>
            <c:ext xmlns:c16="http://schemas.microsoft.com/office/drawing/2014/chart" uri="{C3380CC4-5D6E-409C-BE32-E72D297353CC}">
              <c16:uniqueId val="{00000001-C47D-4613-8C40-1C8B28F6118C}"/>
            </c:ext>
          </c:extLst>
        </c:ser>
        <c:dLbls>
          <c:dLblPos val="outEnd"/>
          <c:showLegendKey val="0"/>
          <c:showVal val="0"/>
          <c:showCatName val="0"/>
          <c:showSerName val="0"/>
          <c:showPercent val="0"/>
          <c:showBubbleSize val="0"/>
        </c:dLbls>
        <c:gapWidth val="182"/>
        <c:axId val="1480569919"/>
        <c:axId val="1480586719"/>
      </c:barChart>
      <c:catAx>
        <c:axId val="1480569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586719"/>
        <c:crosses val="autoZero"/>
        <c:auto val="1"/>
        <c:lblAlgn val="ctr"/>
        <c:lblOffset val="100"/>
        <c:noMultiLvlLbl val="0"/>
      </c:catAx>
      <c:valAx>
        <c:axId val="1480586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569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[Dashboard.xlsx]Category!PivotTable2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Category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Category!$A$4:$A$10</c:f>
              <c:strCache>
                <c:ptCount val="6"/>
                <c:pt idx="0">
                  <c:v>Peripherals</c:v>
                </c:pt>
                <c:pt idx="1">
                  <c:v>Accessories</c:v>
                </c:pt>
                <c:pt idx="2">
                  <c:v>Tablets</c:v>
                </c:pt>
                <c:pt idx="3">
                  <c:v>Displays</c:v>
                </c:pt>
                <c:pt idx="4">
                  <c:v>Mobile</c:v>
                </c:pt>
                <c:pt idx="5">
                  <c:v>Computers</c:v>
                </c:pt>
              </c:strCache>
            </c:strRef>
          </c:cat>
          <c:val>
            <c:numRef>
              <c:f>Category!$B$4:$B$10</c:f>
              <c:numCache>
                <c:formatCode>"$"#,\k</c:formatCode>
                <c:ptCount val="6"/>
                <c:pt idx="0">
                  <c:v>14501.549999999996</c:v>
                </c:pt>
                <c:pt idx="1">
                  <c:v>21880.720000000001</c:v>
                </c:pt>
                <c:pt idx="2">
                  <c:v>34831.17</c:v>
                </c:pt>
                <c:pt idx="3">
                  <c:v>45400.949999999983</c:v>
                </c:pt>
                <c:pt idx="4">
                  <c:v>113192.36999999998</c:v>
                </c:pt>
                <c:pt idx="5">
                  <c:v>143291.94</c:v>
                </c:pt>
              </c:numCache>
            </c:numRef>
          </c:val>
          <c:extLst>
            <c:ext xmlns:c16="http://schemas.microsoft.com/office/drawing/2014/chart" uri="{C3380CC4-5D6E-409C-BE32-E72D297353CC}">
              <c16:uniqueId val="{00000000-5B32-45AC-AD64-7E2EA819FED5}"/>
            </c:ext>
          </c:extLst>
        </c:ser>
        <c:dLbls>
          <c:dLblPos val="outEnd"/>
          <c:showLegendKey val="0"/>
          <c:showVal val="1"/>
          <c:showCatName val="0"/>
          <c:showSerName val="0"/>
          <c:showPercent val="0"/>
          <c:showBubbleSize val="0"/>
        </c:dLbls>
        <c:gapWidth val="182"/>
        <c:axId val="1480613119"/>
        <c:axId val="1480614079"/>
      </c:barChart>
      <c:catAx>
        <c:axId val="148061311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614079"/>
        <c:crosses val="autoZero"/>
        <c:auto val="1"/>
        <c:lblAlgn val="ctr"/>
        <c:lblOffset val="100"/>
        <c:noMultiLvlLbl val="0"/>
      </c:catAx>
      <c:valAx>
        <c:axId val="1480614079"/>
        <c:scaling>
          <c:orientation val="minMax"/>
        </c:scaling>
        <c:delete val="0"/>
        <c:axPos val="b"/>
        <c:numFmt formatCode="&quot;$&quot;#,\k"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61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501650</xdr:colOff>
      <xdr:row>2</xdr:row>
      <xdr:rowOff>57150</xdr:rowOff>
    </xdr:from>
    <xdr:to>
      <xdr:col>10</xdr:col>
      <xdr:colOff>196850</xdr:colOff>
      <xdr:row>17</xdr:row>
      <xdr:rowOff>38100</xdr:rowOff>
    </xdr:to>
    <xdr:graphicFrame macro="">
      <xdr:nvGraphicFramePr>
        <xdr:cNvPr id="2" name="Chart 1">
          <a:extLst>
            <a:ext uri="{FF2B5EF4-FFF2-40B4-BE49-F238E27FC236}">
              <a16:creationId xmlns:a16="http://schemas.microsoft.com/office/drawing/2014/main" id="{1816CFEB-F74E-D51C-CFB9-62487C75A1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361950</xdr:colOff>
      <xdr:row>0</xdr:row>
      <xdr:rowOff>177800</xdr:rowOff>
    </xdr:from>
    <xdr:to>
      <xdr:col>13</xdr:col>
      <xdr:colOff>361950</xdr:colOff>
      <xdr:row>14</xdr:row>
      <xdr:rowOff>123825</xdr:rowOff>
    </xdr:to>
    <mc:AlternateContent xmlns:mc="http://schemas.openxmlformats.org/markup-compatibility/2006" xmlns:a14="http://schemas.microsoft.com/office/drawing/2010/main">
      <mc:Choice Requires="a14">
        <xdr:graphicFrame macro="">
          <xdr:nvGraphicFramePr>
            <xdr:cNvPr id="3" name="Region 2">
              <a:extLst>
                <a:ext uri="{FF2B5EF4-FFF2-40B4-BE49-F238E27FC236}">
                  <a16:creationId xmlns:a16="http://schemas.microsoft.com/office/drawing/2014/main" id="{837AAFAA-7333-457C-581B-3EA7EBEBBDCF}"/>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7105650" y="177800"/>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31750</xdr:colOff>
      <xdr:row>1</xdr:row>
      <xdr:rowOff>12700</xdr:rowOff>
    </xdr:from>
    <xdr:to>
      <xdr:col>17</xdr:col>
      <xdr:colOff>31750</xdr:colOff>
      <xdr:row>14</xdr:row>
      <xdr:rowOff>142875</xdr:rowOff>
    </xdr:to>
    <mc:AlternateContent xmlns:mc="http://schemas.openxmlformats.org/markup-compatibility/2006" xmlns:a14="http://schemas.microsoft.com/office/drawing/2010/main">
      <mc:Choice Requires="a14">
        <xdr:graphicFrame macro="">
          <xdr:nvGraphicFramePr>
            <xdr:cNvPr id="4" name="Revenue">
              <a:extLst>
                <a:ext uri="{FF2B5EF4-FFF2-40B4-BE49-F238E27FC236}">
                  <a16:creationId xmlns:a16="http://schemas.microsoft.com/office/drawing/2014/main" id="{719901AE-35E2-6A31-887B-48AA8915634A}"/>
                </a:ext>
              </a:extLst>
            </xdr:cNvPr>
            <xdr:cNvGraphicFramePr/>
          </xdr:nvGraphicFramePr>
          <xdr:xfrm>
            <a:off x="0" y="0"/>
            <a:ext cx="0" cy="0"/>
          </xdr:xfrm>
          <a:graphic>
            <a:graphicData uri="http://schemas.microsoft.com/office/drawing/2010/slicer">
              <sle:slicer xmlns:sle="http://schemas.microsoft.com/office/drawing/2010/slicer" name="Revenue"/>
            </a:graphicData>
          </a:graphic>
        </xdr:graphicFrame>
      </mc:Choice>
      <mc:Fallback xmlns="">
        <xdr:sp macro="" textlink="">
          <xdr:nvSpPr>
            <xdr:cNvPr id="0" name=""/>
            <xdr:cNvSpPr>
              <a:spLocks noTextEdit="1"/>
            </xdr:cNvSpPr>
          </xdr:nvSpPr>
          <xdr:spPr>
            <a:xfrm>
              <a:off x="9213850" y="196850"/>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6350</xdr:colOff>
      <xdr:row>1</xdr:row>
      <xdr:rowOff>165100</xdr:rowOff>
    </xdr:from>
    <xdr:to>
      <xdr:col>10</xdr:col>
      <xdr:colOff>311150</xdr:colOff>
      <xdr:row>16</xdr:row>
      <xdr:rowOff>146050</xdr:rowOff>
    </xdr:to>
    <xdr:graphicFrame macro="">
      <xdr:nvGraphicFramePr>
        <xdr:cNvPr id="2" name="Chart 1">
          <a:extLst>
            <a:ext uri="{FF2B5EF4-FFF2-40B4-BE49-F238E27FC236}">
              <a16:creationId xmlns:a16="http://schemas.microsoft.com/office/drawing/2014/main" id="{74AEC8F0-6155-B1B3-869D-54BF6B177B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18</xdr:row>
      <xdr:rowOff>31750</xdr:rowOff>
    </xdr:from>
    <xdr:to>
      <xdr:col>3</xdr:col>
      <xdr:colOff>406400</xdr:colOff>
      <xdr:row>33</xdr:row>
      <xdr:rowOff>0</xdr:rowOff>
    </xdr:to>
    <xdr:graphicFrame macro="">
      <xdr:nvGraphicFramePr>
        <xdr:cNvPr id="22" name="Chart 21">
          <a:extLst>
            <a:ext uri="{FF2B5EF4-FFF2-40B4-BE49-F238E27FC236}">
              <a16:creationId xmlns:a16="http://schemas.microsoft.com/office/drawing/2014/main" id="{F56E2B15-B760-46B7-A487-29DABB0BB6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577850</xdr:colOff>
      <xdr:row>1</xdr:row>
      <xdr:rowOff>0</xdr:rowOff>
    </xdr:from>
    <xdr:to>
      <xdr:col>2</xdr:col>
      <xdr:colOff>82550</xdr:colOff>
      <xdr:row>2</xdr:row>
      <xdr:rowOff>165100</xdr:rowOff>
    </xdr:to>
    <xdr:sp macro="" textlink="">
      <xdr:nvSpPr>
        <xdr:cNvPr id="27" name="Rectangle 26">
          <a:extLst>
            <a:ext uri="{FF2B5EF4-FFF2-40B4-BE49-F238E27FC236}">
              <a16:creationId xmlns:a16="http://schemas.microsoft.com/office/drawing/2014/main" id="{4BACA272-DA01-BDF6-9021-CE8A710D8C41}"/>
            </a:ext>
          </a:extLst>
        </xdr:cNvPr>
        <xdr:cNvSpPr/>
      </xdr:nvSpPr>
      <xdr:spPr>
        <a:xfrm>
          <a:off x="577850" y="184150"/>
          <a:ext cx="1714500" cy="349250"/>
        </a:xfrm>
        <a:prstGeom prst="rect">
          <a:avLst/>
        </a:prstGeom>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CA" sz="1400" b="1"/>
            <a:t>Total Revenue</a:t>
          </a:r>
        </a:p>
      </xdr:txBody>
    </xdr:sp>
    <xdr:clientData/>
  </xdr:twoCellAnchor>
  <xdr:twoCellAnchor>
    <xdr:from>
      <xdr:col>3</xdr:col>
      <xdr:colOff>26005</xdr:colOff>
      <xdr:row>1</xdr:row>
      <xdr:rowOff>0</xdr:rowOff>
    </xdr:from>
    <xdr:to>
      <xdr:col>4</xdr:col>
      <xdr:colOff>260955</xdr:colOff>
      <xdr:row>2</xdr:row>
      <xdr:rowOff>162379</xdr:rowOff>
    </xdr:to>
    <xdr:sp macro="" textlink="">
      <xdr:nvSpPr>
        <xdr:cNvPr id="28" name="Rectangle 27">
          <a:extLst>
            <a:ext uri="{FF2B5EF4-FFF2-40B4-BE49-F238E27FC236}">
              <a16:creationId xmlns:a16="http://schemas.microsoft.com/office/drawing/2014/main" id="{5C59F249-EF16-4F5F-B15C-19B1305B206D}"/>
            </a:ext>
          </a:extLst>
        </xdr:cNvPr>
        <xdr:cNvSpPr/>
      </xdr:nvSpPr>
      <xdr:spPr>
        <a:xfrm>
          <a:off x="2959705" y="184150"/>
          <a:ext cx="1682750" cy="346529"/>
        </a:xfrm>
        <a:prstGeom prst="rect">
          <a:avLst/>
        </a:prstGeom>
        <a:ln>
          <a:solidFill>
            <a:srgbClr val="FFC000"/>
          </a:solid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CA" sz="1400" b="1"/>
            <a:t>Total Orders</a:t>
          </a:r>
          <a:r>
            <a:rPr lang="en-CA" sz="1400" b="1" baseline="0"/>
            <a:t> </a:t>
          </a:r>
          <a:endParaRPr lang="en-CA" sz="1400" b="1"/>
        </a:p>
      </xdr:txBody>
    </xdr:sp>
    <xdr:clientData/>
  </xdr:twoCellAnchor>
  <xdr:twoCellAnchor>
    <xdr:from>
      <xdr:col>4</xdr:col>
      <xdr:colOff>928310</xdr:colOff>
      <xdr:row>1</xdr:row>
      <xdr:rowOff>0</xdr:rowOff>
    </xdr:from>
    <xdr:to>
      <xdr:col>6</xdr:col>
      <xdr:colOff>100996</xdr:colOff>
      <xdr:row>2</xdr:row>
      <xdr:rowOff>165100</xdr:rowOff>
    </xdr:to>
    <xdr:sp macro="" textlink="">
      <xdr:nvSpPr>
        <xdr:cNvPr id="30" name="Rectangle 29">
          <a:extLst>
            <a:ext uri="{FF2B5EF4-FFF2-40B4-BE49-F238E27FC236}">
              <a16:creationId xmlns:a16="http://schemas.microsoft.com/office/drawing/2014/main" id="{8EE75CBD-072B-4BA5-9B6C-834FB43A91F8}"/>
            </a:ext>
          </a:extLst>
        </xdr:cNvPr>
        <xdr:cNvSpPr/>
      </xdr:nvSpPr>
      <xdr:spPr>
        <a:xfrm>
          <a:off x="5309810" y="184150"/>
          <a:ext cx="1655536" cy="349250"/>
        </a:xfrm>
        <a:prstGeom prst="rect">
          <a:avLst/>
        </a:prstGeom>
        <a:ln>
          <a:solidFill>
            <a:srgbClr val="00B050"/>
          </a:solid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CA" sz="1400" b="1"/>
            <a:t>Total Profit</a:t>
          </a:r>
        </a:p>
      </xdr:txBody>
    </xdr:sp>
    <xdr:clientData/>
  </xdr:twoCellAnchor>
  <xdr:twoCellAnchor>
    <xdr:from>
      <xdr:col>7</xdr:col>
      <xdr:colOff>158750</xdr:colOff>
      <xdr:row>1</xdr:row>
      <xdr:rowOff>0</xdr:rowOff>
    </xdr:from>
    <xdr:to>
      <xdr:col>7</xdr:col>
      <xdr:colOff>1835150</xdr:colOff>
      <xdr:row>2</xdr:row>
      <xdr:rowOff>165100</xdr:rowOff>
    </xdr:to>
    <xdr:sp macro="" textlink="">
      <xdr:nvSpPr>
        <xdr:cNvPr id="32" name="Rectangle 31">
          <a:extLst>
            <a:ext uri="{FF2B5EF4-FFF2-40B4-BE49-F238E27FC236}">
              <a16:creationId xmlns:a16="http://schemas.microsoft.com/office/drawing/2014/main" id="{BEF7E8C2-4DBA-492F-BF51-4E79D8CB110D}"/>
            </a:ext>
          </a:extLst>
        </xdr:cNvPr>
        <xdr:cNvSpPr/>
      </xdr:nvSpPr>
      <xdr:spPr>
        <a:xfrm>
          <a:off x="7632700" y="184150"/>
          <a:ext cx="1676400" cy="349250"/>
        </a:xfrm>
        <a:prstGeom prst="rect">
          <a:avLst/>
        </a:prstGeom>
        <a:ln>
          <a:solidFill>
            <a:srgbClr val="FF0000"/>
          </a:solid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CA" sz="1400" b="1"/>
            <a:t>Low Stock Items</a:t>
          </a:r>
        </a:p>
      </xdr:txBody>
    </xdr:sp>
    <xdr:clientData/>
  </xdr:twoCellAnchor>
  <xdr:twoCellAnchor>
    <xdr:from>
      <xdr:col>3</xdr:col>
      <xdr:colOff>478745</xdr:colOff>
      <xdr:row>18</xdr:row>
      <xdr:rowOff>31750</xdr:rowOff>
    </xdr:from>
    <xdr:to>
      <xdr:col>5</xdr:col>
      <xdr:colOff>1381805</xdr:colOff>
      <xdr:row>32</xdr:row>
      <xdr:rowOff>168729</xdr:rowOff>
    </xdr:to>
    <xdr:graphicFrame macro="">
      <xdr:nvGraphicFramePr>
        <xdr:cNvPr id="41" name="Chart 40">
          <a:extLst>
            <a:ext uri="{FF2B5EF4-FFF2-40B4-BE49-F238E27FC236}">
              <a16:creationId xmlns:a16="http://schemas.microsoft.com/office/drawing/2014/main" id="{15BC77F0-3438-43FE-A6CC-61A598ED3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326573</xdr:colOff>
      <xdr:row>4</xdr:row>
      <xdr:rowOff>136071</xdr:rowOff>
    </xdr:from>
    <xdr:to>
      <xdr:col>8</xdr:col>
      <xdr:colOff>616857</xdr:colOff>
      <xdr:row>17</xdr:row>
      <xdr:rowOff>154213</xdr:rowOff>
    </xdr:to>
    <xdr:sp macro="" textlink="">
      <xdr:nvSpPr>
        <xdr:cNvPr id="42" name="Rectangle 41">
          <a:extLst>
            <a:ext uri="{FF2B5EF4-FFF2-40B4-BE49-F238E27FC236}">
              <a16:creationId xmlns:a16="http://schemas.microsoft.com/office/drawing/2014/main" id="{AFA5671A-C77C-FE24-9EE2-3964A7193161}"/>
            </a:ext>
          </a:extLst>
        </xdr:cNvPr>
        <xdr:cNvSpPr/>
      </xdr:nvSpPr>
      <xdr:spPr>
        <a:xfrm>
          <a:off x="7190923" y="1056821"/>
          <a:ext cx="2957284" cy="2558142"/>
        </a:xfrm>
        <a:prstGeom prst="rect">
          <a:avLst/>
        </a:prstGeom>
        <a:ln>
          <a:solidFill>
            <a:schemeClr val="bg1"/>
          </a:solidFill>
        </a:ln>
        <a:effectLst>
          <a:outerShdw blurRad="50800" dist="38100" dir="2700000" algn="tl" rotWithShape="0">
            <a:prstClr val="black">
              <a:alpha val="40000"/>
            </a:prstClr>
          </a:outerShd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lang="en-CA" sz="2000" b="1">
              <a:solidFill>
                <a:srgbClr val="00B0F0"/>
              </a:solidFill>
            </a:rPr>
            <a:t>Key</a:t>
          </a:r>
          <a:r>
            <a:rPr lang="en-CA" sz="2000" b="1" baseline="0">
              <a:solidFill>
                <a:srgbClr val="00B0F0"/>
              </a:solidFill>
            </a:rPr>
            <a:t> Insights</a:t>
          </a:r>
          <a:endParaRPr lang="en-CA" sz="2000" b="1">
            <a:solidFill>
              <a:srgbClr val="00B0F0"/>
            </a:solidFill>
          </a:endParaRPr>
        </a:p>
        <a:p>
          <a:pPr algn="l"/>
          <a:endParaRPr lang="en-CA" sz="1100"/>
        </a:p>
        <a:p>
          <a:pPr algn="l"/>
          <a:r>
            <a:rPr lang="en-CA" sz="1100"/>
            <a:t>* </a:t>
          </a:r>
          <a:r>
            <a:rPr lang="en-CA" sz="1200" b="1"/>
            <a:t>West region contributes the highest revenue.</a:t>
          </a:r>
        </a:p>
        <a:p>
          <a:pPr algn="l"/>
          <a:r>
            <a:rPr lang="en-CA" sz="1200" b="1"/>
            <a:t>* Computers and Mobile drive over 65% of total</a:t>
          </a:r>
          <a:r>
            <a:rPr lang="en-CA" sz="1200" b="1" baseline="0"/>
            <a:t> sales.</a:t>
          </a:r>
        </a:p>
        <a:p>
          <a:pPr algn="l"/>
          <a:r>
            <a:rPr lang="en-CA" sz="1200" b="1" baseline="0"/>
            <a:t>* </a:t>
          </a:r>
          <a:r>
            <a:rPr lang="en-CA" sz="1200" b="1"/>
            <a:t>All SKUs are currently above reorder levels, indicating a healthy inventory position with no immediate stockout risk.</a:t>
          </a:r>
          <a:endParaRPr lang="en-CA" sz="1200" b="1" baseline="0"/>
        </a:p>
        <a:p>
          <a:pPr algn="l"/>
          <a:r>
            <a:rPr lang="en-CA" sz="1200" b="1"/>
            <a:t>* Sales showed a decline in February followed by recovery in March, suggesting seasonality or demand fluctuation.</a:t>
          </a:r>
        </a:p>
        <a:p>
          <a:pPr algn="l"/>
          <a:endParaRPr lang="en-CA" sz="1100"/>
        </a:p>
        <a:p>
          <a:pPr algn="l"/>
          <a:endParaRPr lang="en-CA" sz="1100"/>
        </a:p>
      </xdr:txBody>
    </xdr:sp>
    <xdr:clientData/>
  </xdr:twoCellAnchor>
  <xdr:twoCellAnchor>
    <xdr:from>
      <xdr:col>5</xdr:col>
      <xdr:colOff>1454150</xdr:colOff>
      <xdr:row>18</xdr:row>
      <xdr:rowOff>31750</xdr:rowOff>
    </xdr:from>
    <xdr:to>
      <xdr:col>8</xdr:col>
      <xdr:colOff>641350</xdr:colOff>
      <xdr:row>32</xdr:row>
      <xdr:rowOff>165100</xdr:rowOff>
    </xdr:to>
    <xdr:graphicFrame macro="">
      <xdr:nvGraphicFramePr>
        <xdr:cNvPr id="5" name="Chart 4">
          <a:extLst>
            <a:ext uri="{FF2B5EF4-FFF2-40B4-BE49-F238E27FC236}">
              <a16:creationId xmlns:a16="http://schemas.microsoft.com/office/drawing/2014/main" id="{0D38E91C-0B82-481D-8829-6107A60E3A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4</xdr:row>
      <xdr:rowOff>136071</xdr:rowOff>
    </xdr:from>
    <xdr:to>
      <xdr:col>2</xdr:col>
      <xdr:colOff>203200</xdr:colOff>
      <xdr:row>17</xdr:row>
      <xdr:rowOff>120196</xdr:rowOff>
    </xdr:to>
    <mc:AlternateContent xmlns:mc="http://schemas.openxmlformats.org/markup-compatibility/2006" xmlns:a14="http://schemas.microsoft.com/office/drawing/2010/main">
      <mc:Choice Requires="a14">
        <xdr:graphicFrame macro="">
          <xdr:nvGraphicFramePr>
            <xdr:cNvPr id="6" name="Category 3">
              <a:extLst>
                <a:ext uri="{FF2B5EF4-FFF2-40B4-BE49-F238E27FC236}">
                  <a16:creationId xmlns:a16="http://schemas.microsoft.com/office/drawing/2014/main" id="{87CD322F-33EA-4F2B-BD16-5D0F86C0063F}"/>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584200" y="1056821"/>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576641</xdr:colOff>
      <xdr:row>4</xdr:row>
      <xdr:rowOff>136071</xdr:rowOff>
    </xdr:from>
    <xdr:to>
      <xdr:col>4</xdr:col>
      <xdr:colOff>233741</xdr:colOff>
      <xdr:row>17</xdr:row>
      <xdr:rowOff>120196</xdr:rowOff>
    </xdr:to>
    <mc:AlternateContent xmlns:mc="http://schemas.openxmlformats.org/markup-compatibility/2006" xmlns:a14="http://schemas.microsoft.com/office/drawing/2010/main">
      <mc:Choice Requires="a14">
        <xdr:graphicFrame macro="">
          <xdr:nvGraphicFramePr>
            <xdr:cNvPr id="7" name="Region 4">
              <a:extLst>
                <a:ext uri="{FF2B5EF4-FFF2-40B4-BE49-F238E27FC236}">
                  <a16:creationId xmlns:a16="http://schemas.microsoft.com/office/drawing/2014/main" id="{5700FF51-55E4-4B13-85E1-217F3822AB45}"/>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2786441" y="1056821"/>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607182</xdr:colOff>
      <xdr:row>4</xdr:row>
      <xdr:rowOff>136071</xdr:rowOff>
    </xdr:from>
    <xdr:to>
      <xdr:col>5</xdr:col>
      <xdr:colOff>1483482</xdr:colOff>
      <xdr:row>17</xdr:row>
      <xdr:rowOff>120196</xdr:rowOff>
    </xdr:to>
    <mc:AlternateContent xmlns:mc="http://schemas.openxmlformats.org/markup-compatibility/2006" xmlns:a14="http://schemas.microsoft.com/office/drawing/2010/main">
      <mc:Choice Requires="a14">
        <xdr:graphicFrame macro="">
          <xdr:nvGraphicFramePr>
            <xdr:cNvPr id="9" name="Months (Date) 3">
              <a:extLst>
                <a:ext uri="{FF2B5EF4-FFF2-40B4-BE49-F238E27FC236}">
                  <a16:creationId xmlns:a16="http://schemas.microsoft.com/office/drawing/2014/main" id="{72127419-2CF3-40D6-80BC-27B847180B90}"/>
                </a:ext>
              </a:extLst>
            </xdr:cNvPr>
            <xdr:cNvGraphicFramePr/>
          </xdr:nvGraphicFramePr>
          <xdr:xfrm>
            <a:off x="0" y="0"/>
            <a:ext cx="0" cy="0"/>
          </xdr:xfrm>
          <a:graphic>
            <a:graphicData uri="http://schemas.microsoft.com/office/drawing/2010/slicer">
              <sle:slicer xmlns:sle="http://schemas.microsoft.com/office/drawing/2010/slicer" name="Months (Date) 3"/>
            </a:graphicData>
          </a:graphic>
        </xdr:graphicFrame>
      </mc:Choice>
      <mc:Fallback xmlns="">
        <xdr:sp macro="" textlink="">
          <xdr:nvSpPr>
            <xdr:cNvPr id="0" name=""/>
            <xdr:cNvSpPr>
              <a:spLocks noTextEdit="1"/>
            </xdr:cNvSpPr>
          </xdr:nvSpPr>
          <xdr:spPr>
            <a:xfrm>
              <a:off x="4988682" y="1056821"/>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139700</xdr:colOff>
      <xdr:row>2</xdr:row>
      <xdr:rowOff>82550</xdr:rowOff>
    </xdr:from>
    <xdr:to>
      <xdr:col>10</xdr:col>
      <xdr:colOff>444500</xdr:colOff>
      <xdr:row>17</xdr:row>
      <xdr:rowOff>63500</xdr:rowOff>
    </xdr:to>
    <xdr:graphicFrame macro="">
      <xdr:nvGraphicFramePr>
        <xdr:cNvPr id="2" name="Chart 1">
          <a:extLst>
            <a:ext uri="{FF2B5EF4-FFF2-40B4-BE49-F238E27FC236}">
              <a16:creationId xmlns:a16="http://schemas.microsoft.com/office/drawing/2014/main" id="{1E85FEAF-4EF9-278D-7413-29CB4A2C61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488950</xdr:colOff>
      <xdr:row>2</xdr:row>
      <xdr:rowOff>44450</xdr:rowOff>
    </xdr:from>
    <xdr:to>
      <xdr:col>10</xdr:col>
      <xdr:colOff>184150</xdr:colOff>
      <xdr:row>17</xdr:row>
      <xdr:rowOff>25400</xdr:rowOff>
    </xdr:to>
    <xdr:graphicFrame macro="">
      <xdr:nvGraphicFramePr>
        <xdr:cNvPr id="2" name="Chart 1">
          <a:extLst>
            <a:ext uri="{FF2B5EF4-FFF2-40B4-BE49-F238E27FC236}">
              <a16:creationId xmlns:a16="http://schemas.microsoft.com/office/drawing/2014/main" id="{B14467F1-B50C-FDF4-6911-273C4316D5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584200</xdr:colOff>
      <xdr:row>3</xdr:row>
      <xdr:rowOff>31750</xdr:rowOff>
    </xdr:from>
    <xdr:to>
      <xdr:col>13</xdr:col>
      <xdr:colOff>584200</xdr:colOff>
      <xdr:row>16</xdr:row>
      <xdr:rowOff>161925</xdr:rowOff>
    </xdr:to>
    <mc:AlternateContent xmlns:mc="http://schemas.openxmlformats.org/markup-compatibility/2006" xmlns:a14="http://schemas.microsoft.com/office/drawing/2010/main">
      <mc:Choice Requires="a14">
        <xdr:graphicFrame macro="">
          <xdr:nvGraphicFramePr>
            <xdr:cNvPr id="4" name="Category 2">
              <a:extLst>
                <a:ext uri="{FF2B5EF4-FFF2-40B4-BE49-F238E27FC236}">
                  <a16:creationId xmlns:a16="http://schemas.microsoft.com/office/drawing/2014/main" id="{DAC468E2-FA2E-5872-B3EF-3959D913A8C1}"/>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7327900" y="584200"/>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12700</xdr:colOff>
      <xdr:row>3</xdr:row>
      <xdr:rowOff>101600</xdr:rowOff>
    </xdr:from>
    <xdr:to>
      <xdr:col>17</xdr:col>
      <xdr:colOff>12700</xdr:colOff>
      <xdr:row>17</xdr:row>
      <xdr:rowOff>47625</xdr:rowOff>
    </xdr:to>
    <mc:AlternateContent xmlns:mc="http://schemas.openxmlformats.org/markup-compatibility/2006" xmlns:a14="http://schemas.microsoft.com/office/drawing/2010/main">
      <mc:Choice Requires="a14">
        <xdr:graphicFrame macro="">
          <xdr:nvGraphicFramePr>
            <xdr:cNvPr id="5" name="Months (Date) 2">
              <a:extLst>
                <a:ext uri="{FF2B5EF4-FFF2-40B4-BE49-F238E27FC236}">
                  <a16:creationId xmlns:a16="http://schemas.microsoft.com/office/drawing/2014/main" id="{AE33EA97-5BA2-B2BD-6A0E-D82DCF4CC206}"/>
                </a:ext>
              </a:extLst>
            </xdr:cNvPr>
            <xdr:cNvGraphicFramePr/>
          </xdr:nvGraphicFramePr>
          <xdr:xfrm>
            <a:off x="0" y="0"/>
            <a:ext cx="0" cy="0"/>
          </xdr:xfrm>
          <a:graphic>
            <a:graphicData uri="http://schemas.microsoft.com/office/drawing/2010/slicer">
              <sle:slicer xmlns:sle="http://schemas.microsoft.com/office/drawing/2010/slicer" name="Months (Date) 2"/>
            </a:graphicData>
          </a:graphic>
        </xdr:graphicFrame>
      </mc:Choice>
      <mc:Fallback xmlns="">
        <xdr:sp macro="" textlink="">
          <xdr:nvSpPr>
            <xdr:cNvPr id="0" name=""/>
            <xdr:cNvSpPr>
              <a:spLocks noTextEdit="1"/>
            </xdr:cNvSpPr>
          </xdr:nvSpPr>
          <xdr:spPr>
            <a:xfrm>
              <a:off x="9194800" y="654050"/>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31750</xdr:colOff>
      <xdr:row>13</xdr:row>
      <xdr:rowOff>139700</xdr:rowOff>
    </xdr:from>
    <xdr:to>
      <xdr:col>14</xdr:col>
      <xdr:colOff>31750</xdr:colOff>
      <xdr:row>27</xdr:row>
      <xdr:rowOff>85725</xdr:rowOff>
    </xdr:to>
    <mc:AlternateContent xmlns:mc="http://schemas.openxmlformats.org/markup-compatibility/2006" xmlns:a14="http://schemas.microsoft.com/office/drawing/2010/main">
      <mc:Choice Requires="a14">
        <xdr:graphicFrame macro="">
          <xdr:nvGraphicFramePr>
            <xdr:cNvPr id="7" name="Region 3">
              <a:extLst>
                <a:ext uri="{FF2B5EF4-FFF2-40B4-BE49-F238E27FC236}">
                  <a16:creationId xmlns:a16="http://schemas.microsoft.com/office/drawing/2014/main" id="{7BE033D5-82F7-6030-8D6A-048CAE3DEEFE}"/>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7385050" y="2533650"/>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odunrin Oketade" refreshedDate="46121.868879861111" createdVersion="8" refreshedVersion="8" minRefreshableVersion="3" recordCount="295" xr:uid="{6FF4ABDE-EDF6-49D2-AD1C-9041E7E0F431}">
  <cacheSource type="worksheet">
    <worksheetSource name="Clean_Data"/>
  </cacheSource>
  <cacheFields count="18">
    <cacheField name="Date" numFmtId="22">
      <sharedItems containsSemiMixedTypes="0" containsNonDate="0" containsDate="1" containsString="0" minDate="2026-01-01T00:00:00" maxDate="2026-04-01T00:00:00" count="90">
        <d v="2026-01-01T00:00:00"/>
        <d v="2026-01-05T00:00:00"/>
        <d v="2026-01-03T00:00:00"/>
        <d v="2026-01-02T00:00:00"/>
        <d v="2026-01-04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sharedItems>
      <fieldGroup par="17"/>
    </cacheField>
    <cacheField name="Order_ID" numFmtId="0">
      <sharedItems/>
    </cacheField>
    <cacheField name="SKU" numFmtId="0">
      <sharedItems/>
    </cacheField>
    <cacheField name="Product" numFmtId="0">
      <sharedItems count="12">
        <s v="Laptop 14"/>
        <s v="Laptop 16"/>
        <s v="Mouse"/>
        <s v="Phone Lite"/>
        <s v="Monitor 27"/>
        <s v="Headphones"/>
        <s v="Keyboard"/>
        <s v="Webcam"/>
        <s v="Phone Pro"/>
        <s v="Tablet 11"/>
        <s v="Monitor 32"/>
        <s v="Docking Station"/>
      </sharedItems>
    </cacheField>
    <cacheField name="Region" numFmtId="0">
      <sharedItems count="4">
        <s v="East"/>
        <s v="West"/>
        <s v="South"/>
        <s v="North"/>
      </sharedItems>
    </cacheField>
    <cacheField name="Quantity" numFmtId="0">
      <sharedItems containsSemiMixedTypes="0" containsString="0" containsNumber="1" containsInteger="1" minValue="1" maxValue="10"/>
    </cacheField>
    <cacheField name="Revenue" numFmtId="0">
      <sharedItems containsSemiMixedTypes="0" containsString="0" containsNumber="1" minValue="38.22" maxValue="11870.1" count="174">
        <n v="1199"/>
        <n v="2398"/>
        <n v="1385.01"/>
        <n v="4113.0600000000004"/>
        <n v="196.95"/>
        <n v="78.78"/>
        <n v="308.88"/>
        <n v="543.51"/>
        <n v="1628.55"/>
        <n v="126.42"/>
        <n v="58.41"/>
        <n v="173.46"/>
        <n v="88.11"/>
        <n v="1399"/>
        <n v="1108.98"/>
        <n v="329"/>
        <n v="59.59"/>
        <n v="78"/>
        <n v="269.67"/>
        <n v="231.28"/>
        <n v="1187.01"/>
        <n v="4895.1000000000004"/>
        <n v="1411.98"/>
        <n v="449"/>
        <n v="387"/>
        <n v="117.81"/>
        <n v="5651.96"/>
        <n v="658"/>
        <n v="704.88"/>
        <n v="3632.97"/>
        <n v="2770.02"/>
        <n v="238"/>
        <n v="1663.47"/>
        <n v="154.44"/>
        <n v="258"/>
        <n v="5875.1"/>
        <n v="3495"/>
        <n v="178"/>
        <n v="4700.08"/>
        <n v="2967.03"/>
        <n v="130.29"/>
        <n v="2055.06"/>
        <n v="129"/>
        <n v="705.99"/>
        <n v="1647"/>
        <n v="2690.1"/>
        <n v="554.49"/>
        <n v="2937.06"/>
        <n v="1760.08"/>
        <n v="1360.47"/>
        <n v="119"/>
        <n v="444.51"/>
        <n v="440.55"/>
        <n v="1290"/>
        <n v="229.32"/>
        <n v="989.01"/>
        <n v="356"/>
        <n v="3556.08"/>
        <n v="1614.06"/>
        <n v="638.54999999999995"/>
        <n v="89"/>
        <n v="1371.02"/>
        <n v="175.23"/>
        <n v="116.82"/>
        <n v="11870.1"/>
        <n v="1645"/>
        <n v="595.9"/>
        <n v="236"/>
        <n v="57.82"/>
        <n v="4197"/>
        <n v="2217.96"/>
        <n v="118"/>
        <n v="116.62"/>
        <n v="127.71"/>
        <n v="7050.12"/>
        <n v="379.26"/>
        <n v="4945.05"/>
        <n v="191.1"/>
        <n v="999"/>
        <n v="353.43"/>
        <n v="436.1"/>
        <n v="2421.98"/>
        <n v="152.88"/>
        <n v="538.02"/>
        <n v="1778.04"/>
        <n v="549"/>
        <n v="5480.16"/>
        <n v="584.1"/>
        <n v="712"/>
        <n v="5540.04"/>
        <n v="332.29"/>
        <n v="3525.06"/>
        <n v="118.17"/>
        <n v="987"/>
        <n v="3460.05"/>
        <n v="1087.02"/>
        <n v="325.70999999999998"/>
        <n v="967.26"/>
        <n v="240.38"/>
        <n v="260.58"/>
        <n v="898"/>
        <n v="440.02"/>
        <n v="177"/>
        <n v="4843.96"/>
        <n v="2632"/>
        <n v="471.24"/>
        <n v="719.12"/>
        <n v="480.76"/>
        <n v="651.41999999999996"/>
        <n v="4748.04"/>
        <n v="233.24"/>
        <n v="3561.03"/>
        <n v="1210.99"/>
        <n v="3956.04"/>
        <n v="38.22"/>
        <n v="264.33"/>
        <n v="357.54"/>
        <n v="3026.97"/>
        <n v="114.66"/>
        <n v="174.44"/>
        <n v="449.45"/>
        <n v="510.84"/>
        <n v="193.05"/>
        <n v="59"/>
        <n v="2825.98"/>
        <n v="889.02"/>
        <n v="2997"/>
        <n v="1998"/>
        <n v="1958.04"/>
        <n v="2017.98"/>
        <n v="117"/>
        <n v="2222.5500000000002"/>
        <n v="1008.99"/>
        <n v="906.98"/>
        <n v="781.74"/>
        <n v="39"/>
        <n v="4238.97"/>
        <n v="2374.02"/>
        <n v="4392"/>
        <n v="315.12"/>
        <n v="115.83"/>
        <n v="267"/>
        <n v="3529.95"/>
        <n v="261.66000000000003"/>
        <n v="5536.08"/>
        <n v="3257.1"/>
        <n v="8226.1200000000008"/>
        <n v="2245"/>
        <n v="766.26"/>
        <n v="231.66"/>
        <n v="252.84"/>
        <n v="5544.9"/>
        <n v="1978.02"/>
        <n v="255.42"/>
        <n v="2097"/>
        <n v="516"/>
        <n v="157.56"/>
        <n v="1661.45"/>
        <n v="632.1"/>
        <n v="7912.08"/>
        <n v="297.95"/>
        <n v="2823.96"/>
        <n v="3597"/>
        <n v="348.88"/>
        <n v="1347"/>
        <n v="2720.94"/>
        <n v="2350.04"/>
        <n v="120.19"/>
        <n v="1333.53"/>
        <n v="178.77"/>
        <n v="1813.96"/>
        <n v="1076.04"/>
        <n v="961.52"/>
        <n v="76.44"/>
      </sharedItems>
    </cacheField>
    <cacheField name="Stock_On_Hand" numFmtId="0">
      <sharedItems containsSemiMixedTypes="0" containsString="0" containsNumber="1" containsInteger="1" minValue="578" maxValue="2550"/>
    </cacheField>
    <cacheField name="Reorder_Level" numFmtId="0">
      <sharedItems containsSemiMixedTypes="0" containsString="0" containsNumber="1" containsInteger="1" minValue="7" maxValue="18"/>
    </cacheField>
    <cacheField name="Category" numFmtId="0">
      <sharedItems count="6">
        <s v="Computers"/>
        <s v="Accessories"/>
        <s v="Mobile"/>
        <s v="Displays"/>
        <s v="Peripherals"/>
        <s v="Tablets"/>
      </sharedItems>
    </cacheField>
    <cacheField name="Supplier" numFmtId="0">
      <sharedItems/>
    </cacheField>
    <cacheField name="Cost" numFmtId="0">
      <sharedItems containsSemiMixedTypes="0" containsString="0" containsNumber="1" containsInteger="1" minValue="15" maxValue="860"/>
    </cacheField>
    <cacheField name="Stock Risk" numFmtId="0">
      <sharedItems/>
    </cacheField>
    <cacheField name="Profit per Order" numFmtId="0">
      <sharedItems containsSemiMixedTypes="0" containsString="0" containsNumber="1" minValue="23.22" maxValue="552.99"/>
    </cacheField>
    <cacheField name="Total Profit" numFmtId="0">
      <sharedItems containsSemiMixedTypes="0" containsString="0" containsNumber="1" minValue="23.22" maxValue="4670.1000000000004"/>
    </cacheField>
    <cacheField name="Revenue Category" numFmtId="0">
      <sharedItems/>
    </cacheField>
    <cacheField name="Days (Date)" numFmtId="0" databaseField="0">
      <fieldGroup base="0">
        <rangePr groupBy="days" startDate="2026-01-01T00:00:00" endDate="2026-04-01T00:00:00"/>
        <groupItems count="368">
          <s v="&lt;2026-01-0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26-04-01"/>
        </groupItems>
      </fieldGroup>
    </cacheField>
    <cacheField name="Months (Date)" numFmtId="0" databaseField="0">
      <fieldGroup base="0">
        <rangePr groupBy="months" startDate="2026-01-01T00:00:00" endDate="2026-04-01T00:00:00"/>
        <groupItems count="14">
          <s v="&lt;2026-01-01"/>
          <s v="Jan"/>
          <s v="Feb"/>
          <s v="Mar"/>
          <s v="Apr"/>
          <s v="May"/>
          <s v="Jun"/>
          <s v="Jul"/>
          <s v="Aug"/>
          <s v="Sep"/>
          <s v="Oct"/>
          <s v="Nov"/>
          <s v="Dec"/>
          <s v="&gt;2026-04-01"/>
        </groupItems>
      </fieldGroup>
    </cacheField>
  </cacheFields>
  <extLst>
    <ext xmlns:x14="http://schemas.microsoft.com/office/spreadsheetml/2009/9/main" uri="{725AE2AE-9491-48be-B2B4-4EB974FC3084}">
      <x14:pivotCacheDefinition pivotCacheId="2380486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5">
  <r>
    <x v="0"/>
    <s v="ORD0001"/>
    <s v="SKU01"/>
    <x v="0"/>
    <x v="0"/>
    <n v="1"/>
    <x v="0"/>
    <n v="707"/>
    <n v="8"/>
    <x v="0"/>
    <s v="Dell"/>
    <n v="720"/>
    <s v="Healthy"/>
    <n v="479"/>
    <n v="479"/>
    <s v="Low"/>
  </r>
  <r>
    <x v="1"/>
    <s v="ORD0013"/>
    <s v="SKU01"/>
    <x v="0"/>
    <x v="0"/>
    <n v="2"/>
    <x v="1"/>
    <n v="707"/>
    <n v="8"/>
    <x v="0"/>
    <s v="Dell"/>
    <n v="720"/>
    <s v="Healthy"/>
    <n v="479"/>
    <n v="958"/>
    <s v="High"/>
  </r>
  <r>
    <x v="0"/>
    <s v="ORD0003"/>
    <s v="SKU02"/>
    <x v="1"/>
    <x v="1"/>
    <n v="1"/>
    <x v="2"/>
    <n v="771"/>
    <n v="8"/>
    <x v="0"/>
    <s v="HP"/>
    <n v="860"/>
    <s v="Healthy"/>
    <n v="525.01"/>
    <n v="525.01"/>
    <s v="Low"/>
  </r>
  <r>
    <x v="2"/>
    <s v="ORD0009"/>
    <s v="SKU02"/>
    <x v="1"/>
    <x v="2"/>
    <n v="3"/>
    <x v="3"/>
    <n v="771"/>
    <n v="8"/>
    <x v="0"/>
    <s v="HP"/>
    <n v="860"/>
    <s v="Healthy"/>
    <n v="511.02000000000021"/>
    <n v="1533.0600000000004"/>
    <s v="High"/>
  </r>
  <r>
    <x v="0"/>
    <s v="ORD0002"/>
    <s v="SKU10"/>
    <x v="2"/>
    <x v="3"/>
    <n v="5"/>
    <x v="4"/>
    <n v="2350"/>
    <n v="18"/>
    <x v="1"/>
    <s v="Logitech"/>
    <n v="15"/>
    <s v="Healthy"/>
    <n v="24.39"/>
    <n v="121.94999999999999"/>
    <s v="Low"/>
  </r>
  <r>
    <x v="3"/>
    <s v="ORD0007"/>
    <s v="SKU10"/>
    <x v="2"/>
    <x v="3"/>
    <n v="2"/>
    <x v="5"/>
    <n v="2350"/>
    <n v="18"/>
    <x v="1"/>
    <s v="Logitech"/>
    <n v="15"/>
    <s v="Healthy"/>
    <n v="24.39"/>
    <n v="48.78"/>
    <s v="Low"/>
  </r>
  <r>
    <x v="4"/>
    <s v="ORD0010"/>
    <s v="SKU10"/>
    <x v="2"/>
    <x v="1"/>
    <n v="8"/>
    <x v="6"/>
    <n v="2350"/>
    <n v="18"/>
    <x v="1"/>
    <s v="Logitech"/>
    <n v="15"/>
    <s v="Healthy"/>
    <n v="23.61"/>
    <n v="188.88"/>
    <s v="Low"/>
  </r>
  <r>
    <x v="0"/>
    <s v="ORD0004"/>
    <s v="SKU04"/>
    <x v="3"/>
    <x v="1"/>
    <n v="1"/>
    <x v="7"/>
    <n v="1008"/>
    <n v="12"/>
    <x v="2"/>
    <s v="Samsung"/>
    <n v="280"/>
    <s v="Healthy"/>
    <n v="263.51"/>
    <n v="263.51"/>
    <s v="Low"/>
  </r>
  <r>
    <x v="4"/>
    <s v="ORD0011"/>
    <s v="SKU06"/>
    <x v="4"/>
    <x v="1"/>
    <n v="5"/>
    <x v="8"/>
    <n v="802"/>
    <n v="10"/>
    <x v="3"/>
    <s v="LG"/>
    <n v="155"/>
    <s v="Healthy"/>
    <n v="170.70999999999998"/>
    <n v="853.55"/>
    <s v="Low"/>
  </r>
  <r>
    <x v="3"/>
    <s v="ORD0006"/>
    <s v="SKU08"/>
    <x v="5"/>
    <x v="2"/>
    <n v="1"/>
    <x v="9"/>
    <n v="2550"/>
    <n v="18"/>
    <x v="1"/>
    <s v="Sony"/>
    <n v="58"/>
    <s v="Healthy"/>
    <n v="68.42"/>
    <n v="68.42"/>
    <s v="Low"/>
  </r>
  <r>
    <x v="3"/>
    <s v="ORD0005"/>
    <s v="SKU09"/>
    <x v="6"/>
    <x v="1"/>
    <n v="1"/>
    <x v="10"/>
    <n v="2442"/>
    <n v="18"/>
    <x v="1"/>
    <s v="Logitech"/>
    <n v="22"/>
    <s v="Healthy"/>
    <n v="36.409999999999997"/>
    <n v="36.409999999999997"/>
    <s v="Low"/>
  </r>
  <r>
    <x v="4"/>
    <s v="ORD0012"/>
    <s v="SKU09"/>
    <x v="6"/>
    <x v="2"/>
    <n v="3"/>
    <x v="11"/>
    <n v="2442"/>
    <n v="18"/>
    <x v="1"/>
    <s v="Logitech"/>
    <n v="22"/>
    <s v="Healthy"/>
    <n v="35.82"/>
    <n v="107.46000000000001"/>
    <s v="Low"/>
  </r>
  <r>
    <x v="2"/>
    <s v="ORD0008"/>
    <s v="SKU12"/>
    <x v="7"/>
    <x v="1"/>
    <n v="1"/>
    <x v="12"/>
    <n v="1374"/>
    <n v="14"/>
    <x v="4"/>
    <s v="Logitech"/>
    <n v="34"/>
    <s v="Healthy"/>
    <n v="54.11"/>
    <n v="54.11"/>
    <s v="Low"/>
  </r>
  <r>
    <x v="1"/>
    <s v="ORD0014"/>
    <s v="SKU02"/>
    <x v="1"/>
    <x v="0"/>
    <n v="1"/>
    <x v="13"/>
    <n v="771"/>
    <n v="8"/>
    <x v="0"/>
    <s v="HP"/>
    <n v="860"/>
    <s v="Healthy"/>
    <n v="539"/>
    <n v="539"/>
    <s v="Low"/>
  </r>
  <r>
    <x v="1"/>
    <s v="ORD0015"/>
    <s v="SKU04"/>
    <x v="3"/>
    <x v="3"/>
    <n v="2"/>
    <x v="14"/>
    <n v="1008"/>
    <n v="12"/>
    <x v="2"/>
    <s v="Samsung"/>
    <n v="280"/>
    <s v="Healthy"/>
    <n v="274.49"/>
    <n v="548.98"/>
    <s v="Low"/>
  </r>
  <r>
    <x v="1"/>
    <s v="ORD0016"/>
    <s v="SKU06"/>
    <x v="4"/>
    <x v="0"/>
    <n v="1"/>
    <x v="15"/>
    <n v="802"/>
    <n v="10"/>
    <x v="3"/>
    <s v="LG"/>
    <n v="155"/>
    <s v="Healthy"/>
    <n v="174"/>
    <n v="174"/>
    <s v="Low"/>
  </r>
  <r>
    <x v="5"/>
    <s v="ORD0017"/>
    <s v="SKU09"/>
    <x v="6"/>
    <x v="3"/>
    <n v="1"/>
    <x v="16"/>
    <n v="2442"/>
    <n v="18"/>
    <x v="1"/>
    <s v="Logitech"/>
    <n v="22"/>
    <s v="Healthy"/>
    <n v="37.590000000000003"/>
    <n v="37.590000000000003"/>
    <s v="Low"/>
  </r>
  <r>
    <x v="5"/>
    <s v="ORD0018"/>
    <s v="SKU10"/>
    <x v="2"/>
    <x v="0"/>
    <n v="2"/>
    <x v="17"/>
    <n v="2350"/>
    <n v="18"/>
    <x v="1"/>
    <s v="Logitech"/>
    <n v="15"/>
    <s v="Healthy"/>
    <n v="24"/>
    <n v="48"/>
    <s v="Low"/>
  </r>
  <r>
    <x v="5"/>
    <s v="ORD0019"/>
    <s v="SKU12"/>
    <x v="7"/>
    <x v="3"/>
    <n v="3"/>
    <x v="18"/>
    <n v="1374"/>
    <n v="14"/>
    <x v="4"/>
    <s v="Logitech"/>
    <n v="34"/>
    <s v="Healthy"/>
    <n v="55.89"/>
    <n v="167.67000000000002"/>
    <s v="Low"/>
  </r>
  <r>
    <x v="5"/>
    <s v="ORD0020"/>
    <s v="SKU09"/>
    <x v="6"/>
    <x v="2"/>
    <n v="4"/>
    <x v="19"/>
    <n v="2442"/>
    <n v="18"/>
    <x v="1"/>
    <s v="Logitech"/>
    <n v="22"/>
    <s v="Healthy"/>
    <n v="35.82"/>
    <n v="143.28"/>
    <s v="Low"/>
  </r>
  <r>
    <x v="6"/>
    <s v="ORD0021"/>
    <s v="SKU01"/>
    <x v="0"/>
    <x v="1"/>
    <n v="1"/>
    <x v="20"/>
    <n v="707"/>
    <n v="8"/>
    <x v="0"/>
    <s v="Dell"/>
    <n v="720"/>
    <s v="Healthy"/>
    <n v="467.01"/>
    <n v="467.01"/>
    <s v="Low"/>
  </r>
  <r>
    <x v="6"/>
    <s v="ORD0022"/>
    <s v="SKU03"/>
    <x v="8"/>
    <x v="2"/>
    <n v="5"/>
    <x v="21"/>
    <n v="1034"/>
    <n v="12"/>
    <x v="2"/>
    <s v="Apple"/>
    <n v="640"/>
    <s v="Healthy"/>
    <n v="339.0200000000001"/>
    <n v="1695.1000000000004"/>
    <s v="High"/>
  </r>
  <r>
    <x v="6"/>
    <s v="ORD0023"/>
    <s v="SKU05"/>
    <x v="9"/>
    <x v="3"/>
    <n v="2"/>
    <x v="22"/>
    <n v="578"/>
    <n v="7"/>
    <x v="5"/>
    <s v="Apple"/>
    <n v="360"/>
    <s v="Healthy"/>
    <n v="345.99"/>
    <n v="691.98"/>
    <s v="Low"/>
  </r>
  <r>
    <x v="7"/>
    <s v="ORD0024"/>
    <s v="SKU07"/>
    <x v="10"/>
    <x v="0"/>
    <n v="1"/>
    <x v="23"/>
    <n v="772"/>
    <n v="10"/>
    <x v="3"/>
    <s v="Samsung"/>
    <n v="220"/>
    <s v="Healthy"/>
    <n v="229"/>
    <n v="229"/>
    <s v="Low"/>
  </r>
  <r>
    <x v="7"/>
    <s v="ORD0025"/>
    <s v="SKU08"/>
    <x v="5"/>
    <x v="0"/>
    <n v="3"/>
    <x v="24"/>
    <n v="2550"/>
    <n v="18"/>
    <x v="1"/>
    <s v="Sony"/>
    <n v="58"/>
    <s v="Healthy"/>
    <n v="71"/>
    <n v="213"/>
    <s v="Low"/>
  </r>
  <r>
    <x v="7"/>
    <s v="ORD0026"/>
    <s v="SKU11"/>
    <x v="11"/>
    <x v="1"/>
    <n v="1"/>
    <x v="25"/>
    <n v="1432"/>
    <n v="14"/>
    <x v="4"/>
    <s v="Anker"/>
    <n v="48"/>
    <s v="Healthy"/>
    <n v="69.81"/>
    <n v="69.81"/>
    <s v="Low"/>
  </r>
  <r>
    <x v="7"/>
    <s v="ORD0027"/>
    <s v="SKU12"/>
    <x v="7"/>
    <x v="1"/>
    <n v="1"/>
    <x v="12"/>
    <n v="1374"/>
    <n v="14"/>
    <x v="4"/>
    <s v="Logitech"/>
    <n v="34"/>
    <s v="Healthy"/>
    <n v="54.11"/>
    <n v="54.11"/>
    <s v="Low"/>
  </r>
  <r>
    <x v="8"/>
    <s v="ORD0028"/>
    <s v="SKU02"/>
    <x v="1"/>
    <x v="3"/>
    <n v="4"/>
    <x v="26"/>
    <n v="771"/>
    <n v="8"/>
    <x v="0"/>
    <s v="HP"/>
    <n v="860"/>
    <s v="Healthy"/>
    <n v="552.99"/>
    <n v="2211.96"/>
    <s v="High"/>
  </r>
  <r>
    <x v="8"/>
    <s v="ORD0029"/>
    <s v="SKU06"/>
    <x v="4"/>
    <x v="0"/>
    <n v="2"/>
    <x v="27"/>
    <n v="802"/>
    <n v="10"/>
    <x v="3"/>
    <s v="LG"/>
    <n v="155"/>
    <s v="Healthy"/>
    <n v="174"/>
    <n v="348"/>
    <s v="Low"/>
  </r>
  <r>
    <x v="8"/>
    <s v="ORD0030"/>
    <s v="SKU12"/>
    <x v="7"/>
    <x v="1"/>
    <n v="8"/>
    <x v="28"/>
    <n v="1374"/>
    <n v="14"/>
    <x v="4"/>
    <s v="Logitech"/>
    <n v="34"/>
    <s v="Healthy"/>
    <n v="54.11"/>
    <n v="432.88"/>
    <s v="Low"/>
  </r>
  <r>
    <x v="9"/>
    <s v="ORD0031"/>
    <s v="SKU01"/>
    <x v="0"/>
    <x v="3"/>
    <n v="3"/>
    <x v="29"/>
    <n v="707"/>
    <n v="8"/>
    <x v="0"/>
    <s v="Dell"/>
    <n v="720"/>
    <s v="Healthy"/>
    <n v="490.99"/>
    <n v="1472.9699999999998"/>
    <s v="High"/>
  </r>
  <r>
    <x v="9"/>
    <s v="ORD0032"/>
    <s v="SKU08"/>
    <x v="5"/>
    <x v="0"/>
    <n v="3"/>
    <x v="24"/>
    <n v="2550"/>
    <n v="18"/>
    <x v="1"/>
    <s v="Sony"/>
    <n v="58"/>
    <s v="Healthy"/>
    <n v="71"/>
    <n v="213"/>
    <s v="Low"/>
  </r>
  <r>
    <x v="9"/>
    <s v="ORD0033"/>
    <s v="SKU02"/>
    <x v="1"/>
    <x v="1"/>
    <n v="2"/>
    <x v="30"/>
    <n v="771"/>
    <n v="8"/>
    <x v="0"/>
    <s v="HP"/>
    <n v="860"/>
    <s v="Healthy"/>
    <n v="525.01"/>
    <n v="1050.02"/>
    <s v="High"/>
  </r>
  <r>
    <x v="10"/>
    <s v="ORD0034"/>
    <s v="SKU11"/>
    <x v="11"/>
    <x v="0"/>
    <n v="2"/>
    <x v="31"/>
    <n v="1432"/>
    <n v="14"/>
    <x v="4"/>
    <s v="Anker"/>
    <n v="48"/>
    <s v="Healthy"/>
    <n v="71"/>
    <n v="142"/>
    <s v="Low"/>
  </r>
  <r>
    <x v="10"/>
    <s v="ORD0035"/>
    <s v="SKU03"/>
    <x v="8"/>
    <x v="2"/>
    <n v="5"/>
    <x v="21"/>
    <n v="1034"/>
    <n v="12"/>
    <x v="2"/>
    <s v="Apple"/>
    <n v="640"/>
    <s v="Healthy"/>
    <n v="339.0200000000001"/>
    <n v="1695.1000000000004"/>
    <s v="High"/>
  </r>
  <r>
    <x v="10"/>
    <s v="ORD0036"/>
    <s v="SKU04"/>
    <x v="3"/>
    <x v="3"/>
    <n v="3"/>
    <x v="32"/>
    <n v="1008"/>
    <n v="12"/>
    <x v="2"/>
    <s v="Samsung"/>
    <n v="280"/>
    <s v="Healthy"/>
    <n v="274.49"/>
    <n v="823.47"/>
    <s v="Low"/>
  </r>
  <r>
    <x v="11"/>
    <s v="ORD0037"/>
    <s v="SKU10"/>
    <x v="2"/>
    <x v="1"/>
    <n v="4"/>
    <x v="33"/>
    <n v="2350"/>
    <n v="18"/>
    <x v="1"/>
    <s v="Logitech"/>
    <n v="15"/>
    <s v="Healthy"/>
    <n v="23.61"/>
    <n v="94.44"/>
    <s v="Low"/>
  </r>
  <r>
    <x v="11"/>
    <s v="ORD0038"/>
    <s v="SKU08"/>
    <x v="5"/>
    <x v="0"/>
    <n v="2"/>
    <x v="34"/>
    <n v="2550"/>
    <n v="18"/>
    <x v="1"/>
    <s v="Sony"/>
    <n v="58"/>
    <s v="Healthy"/>
    <n v="71"/>
    <n v="142"/>
    <s v="Low"/>
  </r>
  <r>
    <x v="11"/>
    <s v="ORD0039"/>
    <s v="SKU01"/>
    <x v="0"/>
    <x v="2"/>
    <n v="5"/>
    <x v="35"/>
    <n v="707"/>
    <n v="8"/>
    <x v="0"/>
    <s v="Dell"/>
    <n v="720"/>
    <s v="Healthy"/>
    <n v="455.02"/>
    <n v="2275.1000000000004"/>
    <s v="High"/>
  </r>
  <r>
    <x v="12"/>
    <s v="ORD0040"/>
    <s v="SKU05"/>
    <x v="9"/>
    <x v="0"/>
    <n v="5"/>
    <x v="36"/>
    <n v="578"/>
    <n v="7"/>
    <x v="5"/>
    <s v="Apple"/>
    <n v="360"/>
    <s v="Healthy"/>
    <n v="339"/>
    <n v="1695"/>
    <s v="High"/>
  </r>
  <r>
    <x v="12"/>
    <s v="ORD0041"/>
    <s v="SKU12"/>
    <x v="7"/>
    <x v="0"/>
    <n v="2"/>
    <x v="37"/>
    <n v="1374"/>
    <n v="14"/>
    <x v="4"/>
    <s v="Logitech"/>
    <n v="34"/>
    <s v="Healthy"/>
    <n v="55"/>
    <n v="110"/>
    <s v="Low"/>
  </r>
  <r>
    <x v="12"/>
    <s v="ORD0042"/>
    <s v="SKU01"/>
    <x v="0"/>
    <x v="2"/>
    <n v="4"/>
    <x v="38"/>
    <n v="707"/>
    <n v="8"/>
    <x v="0"/>
    <s v="Dell"/>
    <n v="720"/>
    <s v="Healthy"/>
    <n v="455.02"/>
    <n v="1820.08"/>
    <s v="High"/>
  </r>
  <r>
    <x v="12"/>
    <s v="ORD0043"/>
    <s v="SKU03"/>
    <x v="8"/>
    <x v="1"/>
    <n v="3"/>
    <x v="39"/>
    <n v="1034"/>
    <n v="12"/>
    <x v="2"/>
    <s v="Apple"/>
    <n v="640"/>
    <s v="Healthy"/>
    <n v="349.0100000000001"/>
    <n v="1047.0300000000002"/>
    <s v="High"/>
  </r>
  <r>
    <x v="13"/>
    <s v="ORD0044"/>
    <s v="SKU11"/>
    <x v="11"/>
    <x v="1"/>
    <n v="1"/>
    <x v="25"/>
    <n v="1432"/>
    <n v="14"/>
    <x v="4"/>
    <s v="Anker"/>
    <n v="48"/>
    <s v="Healthy"/>
    <n v="69.81"/>
    <n v="69.81"/>
    <s v="Low"/>
  </r>
  <r>
    <x v="13"/>
    <s v="ORD0045"/>
    <s v="SKU08"/>
    <x v="5"/>
    <x v="3"/>
    <n v="1"/>
    <x v="40"/>
    <n v="2550"/>
    <n v="18"/>
    <x v="1"/>
    <s v="Sony"/>
    <n v="58"/>
    <s v="Healthy"/>
    <n v="72.289999999999992"/>
    <n v="72.289999999999992"/>
    <s v="Low"/>
  </r>
  <r>
    <x v="13"/>
    <s v="ORD0046"/>
    <s v="SKU05"/>
    <x v="9"/>
    <x v="2"/>
    <n v="3"/>
    <x v="41"/>
    <n v="578"/>
    <n v="7"/>
    <x v="5"/>
    <s v="Apple"/>
    <n v="360"/>
    <s v="Healthy"/>
    <n v="325.02"/>
    <n v="975.06"/>
    <s v="High"/>
  </r>
  <r>
    <x v="14"/>
    <s v="ORD0047"/>
    <s v="SKU08"/>
    <x v="5"/>
    <x v="0"/>
    <n v="1"/>
    <x v="42"/>
    <n v="2550"/>
    <n v="18"/>
    <x v="1"/>
    <s v="Sony"/>
    <n v="58"/>
    <s v="Healthy"/>
    <n v="71"/>
    <n v="71"/>
    <s v="Low"/>
  </r>
  <r>
    <x v="14"/>
    <s v="ORD0048"/>
    <s v="SKU05"/>
    <x v="9"/>
    <x v="3"/>
    <n v="1"/>
    <x v="43"/>
    <n v="578"/>
    <n v="7"/>
    <x v="5"/>
    <s v="Apple"/>
    <n v="360"/>
    <s v="Healthy"/>
    <n v="345.99"/>
    <n v="345.99"/>
    <s v="Low"/>
  </r>
  <r>
    <x v="14"/>
    <s v="ORD0049"/>
    <s v="SKU04"/>
    <x v="3"/>
    <x v="0"/>
    <n v="3"/>
    <x v="44"/>
    <n v="1008"/>
    <n v="12"/>
    <x v="2"/>
    <s v="Samsung"/>
    <n v="280"/>
    <s v="Healthy"/>
    <n v="269"/>
    <n v="807"/>
    <s v="Low"/>
  </r>
  <r>
    <x v="14"/>
    <s v="ORD0050"/>
    <s v="SKU04"/>
    <x v="3"/>
    <x v="2"/>
    <n v="5"/>
    <x v="45"/>
    <n v="1008"/>
    <n v="12"/>
    <x v="2"/>
    <s v="Samsung"/>
    <n v="280"/>
    <s v="Healthy"/>
    <n v="258.02"/>
    <n v="1290.0999999999999"/>
    <s v="High"/>
  </r>
  <r>
    <x v="15"/>
    <s v="ORD0051"/>
    <s v="SKU04"/>
    <x v="3"/>
    <x v="3"/>
    <n v="1"/>
    <x v="46"/>
    <n v="1008"/>
    <n v="12"/>
    <x v="2"/>
    <s v="Samsung"/>
    <n v="280"/>
    <s v="Healthy"/>
    <n v="274.49"/>
    <n v="274.49"/>
    <s v="Low"/>
  </r>
  <r>
    <x v="15"/>
    <s v="ORD0052"/>
    <s v="SKU03"/>
    <x v="8"/>
    <x v="2"/>
    <n v="3"/>
    <x v="47"/>
    <n v="1034"/>
    <n v="12"/>
    <x v="2"/>
    <s v="Apple"/>
    <n v="640"/>
    <s v="Healthy"/>
    <n v="339.02"/>
    <n v="1017.06"/>
    <s v="High"/>
  </r>
  <r>
    <x v="15"/>
    <s v="ORD0053"/>
    <s v="SKU07"/>
    <x v="10"/>
    <x v="2"/>
    <n v="4"/>
    <x v="48"/>
    <n v="772"/>
    <n v="10"/>
    <x v="3"/>
    <s v="Samsung"/>
    <n v="220"/>
    <s v="Healthy"/>
    <n v="220.01999999999998"/>
    <n v="880.07999999999993"/>
    <s v="Low"/>
  </r>
  <r>
    <x v="16"/>
    <s v="ORD0054"/>
    <s v="SKU02"/>
    <x v="1"/>
    <x v="1"/>
    <n v="2"/>
    <x v="30"/>
    <n v="771"/>
    <n v="8"/>
    <x v="0"/>
    <s v="HP"/>
    <n v="860"/>
    <s v="Healthy"/>
    <n v="525.01"/>
    <n v="1050.02"/>
    <s v="High"/>
  </r>
  <r>
    <x v="16"/>
    <s v="ORD0055"/>
    <s v="SKU07"/>
    <x v="10"/>
    <x v="3"/>
    <n v="3"/>
    <x v="49"/>
    <n v="772"/>
    <n v="10"/>
    <x v="3"/>
    <s v="Samsung"/>
    <n v="220"/>
    <s v="Healthy"/>
    <n v="233.49"/>
    <n v="700.47"/>
    <s v="Low"/>
  </r>
  <r>
    <x v="17"/>
    <s v="ORD0056"/>
    <s v="SKU02"/>
    <x v="1"/>
    <x v="1"/>
    <n v="2"/>
    <x v="30"/>
    <n v="771"/>
    <n v="8"/>
    <x v="0"/>
    <s v="HP"/>
    <n v="860"/>
    <s v="Healthy"/>
    <n v="525.01"/>
    <n v="1050.02"/>
    <s v="High"/>
  </r>
  <r>
    <x v="17"/>
    <s v="ORD0057"/>
    <s v="SKU11"/>
    <x v="11"/>
    <x v="0"/>
    <n v="1"/>
    <x v="50"/>
    <n v="1432"/>
    <n v="14"/>
    <x v="4"/>
    <s v="Anker"/>
    <n v="48"/>
    <s v="Healthy"/>
    <n v="71"/>
    <n v="71"/>
    <s v="Low"/>
  </r>
  <r>
    <x v="17"/>
    <s v="ORD0058"/>
    <s v="SKU07"/>
    <x v="10"/>
    <x v="1"/>
    <n v="1"/>
    <x v="51"/>
    <n v="772"/>
    <n v="10"/>
    <x v="3"/>
    <s v="Samsung"/>
    <n v="220"/>
    <s v="Healthy"/>
    <n v="224.51"/>
    <n v="224.51"/>
    <s v="Low"/>
  </r>
  <r>
    <x v="18"/>
    <s v="ORD0059"/>
    <s v="SKU12"/>
    <x v="7"/>
    <x v="1"/>
    <n v="5"/>
    <x v="52"/>
    <n v="1374"/>
    <n v="14"/>
    <x v="4"/>
    <s v="Logitech"/>
    <n v="34"/>
    <s v="Healthy"/>
    <n v="54.11"/>
    <n v="270.55"/>
    <s v="Low"/>
  </r>
  <r>
    <x v="18"/>
    <s v="ORD0060"/>
    <s v="SKU08"/>
    <x v="5"/>
    <x v="0"/>
    <n v="10"/>
    <x v="53"/>
    <n v="2550"/>
    <n v="18"/>
    <x v="1"/>
    <s v="Sony"/>
    <n v="58"/>
    <s v="Healthy"/>
    <n v="71"/>
    <n v="710"/>
    <s v="Low"/>
  </r>
  <r>
    <x v="18"/>
    <s v="ORD0061"/>
    <s v="SKU10"/>
    <x v="2"/>
    <x v="2"/>
    <n v="6"/>
    <x v="54"/>
    <n v="2350"/>
    <n v="18"/>
    <x v="1"/>
    <s v="Logitech"/>
    <n v="15"/>
    <s v="Healthy"/>
    <n v="23.22"/>
    <n v="139.32"/>
    <s v="Low"/>
  </r>
  <r>
    <x v="19"/>
    <s v="ORD0062"/>
    <s v="SKU03"/>
    <x v="8"/>
    <x v="1"/>
    <n v="1"/>
    <x v="55"/>
    <n v="1034"/>
    <n v="12"/>
    <x v="2"/>
    <s v="Apple"/>
    <n v="640"/>
    <s v="Healthy"/>
    <n v="349.01"/>
    <n v="349.01"/>
    <s v="Low"/>
  </r>
  <r>
    <x v="19"/>
    <s v="ORD0063"/>
    <s v="SKU06"/>
    <x v="4"/>
    <x v="0"/>
    <n v="2"/>
    <x v="27"/>
    <n v="802"/>
    <n v="10"/>
    <x v="3"/>
    <s v="LG"/>
    <n v="155"/>
    <s v="Healthy"/>
    <n v="174"/>
    <n v="348"/>
    <s v="Low"/>
  </r>
  <r>
    <x v="19"/>
    <s v="ORD0064"/>
    <s v="SKU12"/>
    <x v="7"/>
    <x v="0"/>
    <n v="4"/>
    <x v="56"/>
    <n v="1374"/>
    <n v="14"/>
    <x v="4"/>
    <s v="Logitech"/>
    <n v="34"/>
    <s v="Healthy"/>
    <n v="55"/>
    <n v="220"/>
    <s v="Low"/>
  </r>
  <r>
    <x v="19"/>
    <s v="ORD0065"/>
    <s v="SKU07"/>
    <x v="10"/>
    <x v="1"/>
    <n v="8"/>
    <x v="57"/>
    <n v="772"/>
    <n v="10"/>
    <x v="3"/>
    <s v="Samsung"/>
    <n v="220"/>
    <s v="Healthy"/>
    <n v="224.51"/>
    <n v="1796.08"/>
    <s v="High"/>
  </r>
  <r>
    <x v="20"/>
    <s v="ORD0066"/>
    <s v="SKU08"/>
    <x v="5"/>
    <x v="3"/>
    <n v="1"/>
    <x v="40"/>
    <n v="2550"/>
    <n v="18"/>
    <x v="1"/>
    <s v="Sony"/>
    <n v="58"/>
    <s v="Healthy"/>
    <n v="72.289999999999992"/>
    <n v="72.289999999999992"/>
    <s v="Low"/>
  </r>
  <r>
    <x v="20"/>
    <s v="ORD0067"/>
    <s v="SKU04"/>
    <x v="3"/>
    <x v="2"/>
    <n v="3"/>
    <x v="58"/>
    <n v="1008"/>
    <n v="12"/>
    <x v="2"/>
    <s v="Samsung"/>
    <n v="280"/>
    <s v="Healthy"/>
    <n v="258.02"/>
    <n v="774.06"/>
    <s v="Low"/>
  </r>
  <r>
    <x v="20"/>
    <s v="ORD0068"/>
    <s v="SKU08"/>
    <x v="5"/>
    <x v="3"/>
    <n v="1"/>
    <x v="40"/>
    <n v="2550"/>
    <n v="18"/>
    <x v="1"/>
    <s v="Sony"/>
    <n v="58"/>
    <s v="Healthy"/>
    <n v="72.289999999999992"/>
    <n v="72.289999999999992"/>
    <s v="Low"/>
  </r>
  <r>
    <x v="20"/>
    <s v="ORD0069"/>
    <s v="SKU08"/>
    <x v="5"/>
    <x v="1"/>
    <n v="5"/>
    <x v="59"/>
    <n v="2550"/>
    <n v="18"/>
    <x v="1"/>
    <s v="Sony"/>
    <n v="58"/>
    <s v="Healthy"/>
    <n v="69.709999999999994"/>
    <n v="348.54999999999995"/>
    <s v="Low"/>
  </r>
  <r>
    <x v="21"/>
    <s v="ORD0070"/>
    <s v="SKU12"/>
    <x v="7"/>
    <x v="0"/>
    <n v="1"/>
    <x v="60"/>
    <n v="1374"/>
    <n v="14"/>
    <x v="4"/>
    <s v="Logitech"/>
    <n v="34"/>
    <s v="Healthy"/>
    <n v="55"/>
    <n v="55"/>
    <s v="Low"/>
  </r>
  <r>
    <x v="21"/>
    <s v="ORD0071"/>
    <s v="SKU09"/>
    <x v="6"/>
    <x v="3"/>
    <n v="1"/>
    <x v="16"/>
    <n v="2442"/>
    <n v="18"/>
    <x v="1"/>
    <s v="Logitech"/>
    <n v="22"/>
    <s v="Healthy"/>
    <n v="37.590000000000003"/>
    <n v="37.590000000000003"/>
    <s v="Low"/>
  </r>
  <r>
    <x v="21"/>
    <s v="ORD0072"/>
    <s v="SKU02"/>
    <x v="1"/>
    <x v="2"/>
    <n v="1"/>
    <x v="61"/>
    <n v="771"/>
    <n v="8"/>
    <x v="0"/>
    <s v="HP"/>
    <n v="860"/>
    <s v="Healthy"/>
    <n v="511.02"/>
    <n v="511.02"/>
    <s v="Low"/>
  </r>
  <r>
    <x v="22"/>
    <s v="ORD0073"/>
    <s v="SKU09"/>
    <x v="6"/>
    <x v="1"/>
    <n v="3"/>
    <x v="62"/>
    <n v="2442"/>
    <n v="18"/>
    <x v="1"/>
    <s v="Logitech"/>
    <n v="22"/>
    <s v="Healthy"/>
    <n v="36.409999999999997"/>
    <n v="109.22999999999999"/>
    <s v="Low"/>
  </r>
  <r>
    <x v="22"/>
    <s v="ORD0074"/>
    <s v="SKU08"/>
    <x v="5"/>
    <x v="2"/>
    <n v="1"/>
    <x v="9"/>
    <n v="2550"/>
    <n v="18"/>
    <x v="1"/>
    <s v="Sony"/>
    <n v="58"/>
    <s v="Healthy"/>
    <n v="68.42"/>
    <n v="68.42"/>
    <s v="Low"/>
  </r>
  <r>
    <x v="22"/>
    <s v="ORD0075"/>
    <s v="SKU10"/>
    <x v="2"/>
    <x v="0"/>
    <n v="2"/>
    <x v="17"/>
    <n v="2350"/>
    <n v="18"/>
    <x v="1"/>
    <s v="Logitech"/>
    <n v="15"/>
    <s v="Healthy"/>
    <n v="24"/>
    <n v="48"/>
    <s v="Low"/>
  </r>
  <r>
    <x v="22"/>
    <s v="ORD0076"/>
    <s v="SKU09"/>
    <x v="6"/>
    <x v="1"/>
    <n v="2"/>
    <x v="63"/>
    <n v="2442"/>
    <n v="18"/>
    <x v="1"/>
    <s v="Logitech"/>
    <n v="22"/>
    <s v="Healthy"/>
    <n v="36.409999999999997"/>
    <n v="72.819999999999993"/>
    <s v="Low"/>
  </r>
  <r>
    <x v="23"/>
    <s v="ORD0077"/>
    <s v="SKU01"/>
    <x v="0"/>
    <x v="1"/>
    <n v="10"/>
    <x v="64"/>
    <n v="707"/>
    <n v="8"/>
    <x v="0"/>
    <s v="Dell"/>
    <n v="720"/>
    <s v="Healthy"/>
    <n v="467.01"/>
    <n v="4670.1000000000004"/>
    <s v="High"/>
  </r>
  <r>
    <x v="23"/>
    <s v="ORD0078"/>
    <s v="SKU12"/>
    <x v="7"/>
    <x v="0"/>
    <n v="1"/>
    <x v="60"/>
    <n v="1374"/>
    <n v="14"/>
    <x v="4"/>
    <s v="Logitech"/>
    <n v="34"/>
    <s v="Healthy"/>
    <n v="55"/>
    <n v="55"/>
    <s v="Low"/>
  </r>
  <r>
    <x v="23"/>
    <s v="ORD0079"/>
    <s v="SKU04"/>
    <x v="3"/>
    <x v="2"/>
    <n v="5"/>
    <x v="45"/>
    <n v="1008"/>
    <n v="12"/>
    <x v="2"/>
    <s v="Samsung"/>
    <n v="280"/>
    <s v="Healthy"/>
    <n v="258.02"/>
    <n v="1290.0999999999999"/>
    <s v="High"/>
  </r>
  <r>
    <x v="24"/>
    <s v="ORD0080"/>
    <s v="SKU06"/>
    <x v="4"/>
    <x v="0"/>
    <n v="5"/>
    <x v="65"/>
    <n v="802"/>
    <n v="10"/>
    <x v="3"/>
    <s v="LG"/>
    <n v="155"/>
    <s v="Healthy"/>
    <n v="174"/>
    <n v="870"/>
    <s v="Low"/>
  </r>
  <r>
    <x v="24"/>
    <s v="ORD0081"/>
    <s v="SKU09"/>
    <x v="6"/>
    <x v="3"/>
    <n v="10"/>
    <x v="66"/>
    <n v="2442"/>
    <n v="18"/>
    <x v="1"/>
    <s v="Logitech"/>
    <n v="22"/>
    <s v="Healthy"/>
    <n v="37.589999999999996"/>
    <n v="375.9"/>
    <s v="Low"/>
  </r>
  <r>
    <x v="24"/>
    <s v="ORD0082"/>
    <s v="SKU09"/>
    <x v="6"/>
    <x v="0"/>
    <n v="4"/>
    <x v="67"/>
    <n v="2442"/>
    <n v="18"/>
    <x v="1"/>
    <s v="Logitech"/>
    <n v="22"/>
    <s v="Healthy"/>
    <n v="37"/>
    <n v="148"/>
    <s v="Low"/>
  </r>
  <r>
    <x v="25"/>
    <s v="ORD0083"/>
    <s v="SKU09"/>
    <x v="6"/>
    <x v="2"/>
    <n v="1"/>
    <x v="68"/>
    <n v="2442"/>
    <n v="18"/>
    <x v="1"/>
    <s v="Logitech"/>
    <n v="22"/>
    <s v="Healthy"/>
    <n v="35.82"/>
    <n v="35.82"/>
    <s v="Low"/>
  </r>
  <r>
    <x v="25"/>
    <s v="ORD0084"/>
    <s v="SKU02"/>
    <x v="1"/>
    <x v="0"/>
    <n v="3"/>
    <x v="69"/>
    <n v="771"/>
    <n v="8"/>
    <x v="0"/>
    <s v="HP"/>
    <n v="860"/>
    <s v="Healthy"/>
    <n v="539"/>
    <n v="1617"/>
    <s v="High"/>
  </r>
  <r>
    <x v="25"/>
    <s v="ORD0085"/>
    <s v="SKU04"/>
    <x v="3"/>
    <x v="3"/>
    <n v="4"/>
    <x v="70"/>
    <n v="1008"/>
    <n v="12"/>
    <x v="2"/>
    <s v="Samsung"/>
    <n v="280"/>
    <s v="Healthy"/>
    <n v="274.49"/>
    <n v="1097.96"/>
    <s v="High"/>
  </r>
  <r>
    <x v="26"/>
    <s v="ORD0086"/>
    <s v="SKU09"/>
    <x v="6"/>
    <x v="0"/>
    <n v="2"/>
    <x v="71"/>
    <n v="2442"/>
    <n v="18"/>
    <x v="1"/>
    <s v="Logitech"/>
    <n v="22"/>
    <s v="Healthy"/>
    <n v="37"/>
    <n v="74"/>
    <s v="Low"/>
  </r>
  <r>
    <x v="26"/>
    <s v="ORD0087"/>
    <s v="SKU11"/>
    <x v="11"/>
    <x v="2"/>
    <n v="1"/>
    <x v="72"/>
    <n v="1432"/>
    <n v="14"/>
    <x v="4"/>
    <s v="Anker"/>
    <n v="48"/>
    <s v="Healthy"/>
    <n v="68.62"/>
    <n v="68.62"/>
    <s v="Low"/>
  </r>
  <r>
    <x v="26"/>
    <s v="ORD0088"/>
    <s v="SKU06"/>
    <x v="4"/>
    <x v="0"/>
    <n v="1"/>
    <x v="15"/>
    <n v="802"/>
    <n v="10"/>
    <x v="3"/>
    <s v="LG"/>
    <n v="155"/>
    <s v="Healthy"/>
    <n v="174"/>
    <n v="174"/>
    <s v="Low"/>
  </r>
  <r>
    <x v="27"/>
    <s v="ORD0089"/>
    <s v="SKU09"/>
    <x v="6"/>
    <x v="0"/>
    <n v="4"/>
    <x v="67"/>
    <n v="2442"/>
    <n v="18"/>
    <x v="1"/>
    <s v="Logitech"/>
    <n v="22"/>
    <s v="Healthy"/>
    <n v="37"/>
    <n v="148"/>
    <s v="Low"/>
  </r>
  <r>
    <x v="27"/>
    <s v="ORD0090"/>
    <s v="SKU08"/>
    <x v="5"/>
    <x v="1"/>
    <n v="1"/>
    <x v="73"/>
    <n v="2550"/>
    <n v="18"/>
    <x v="1"/>
    <s v="Sony"/>
    <n v="58"/>
    <s v="Healthy"/>
    <n v="69.709999999999994"/>
    <n v="69.709999999999994"/>
    <s v="Low"/>
  </r>
  <r>
    <x v="27"/>
    <s v="ORD0091"/>
    <s v="SKU01"/>
    <x v="0"/>
    <x v="2"/>
    <n v="6"/>
    <x v="74"/>
    <n v="707"/>
    <n v="8"/>
    <x v="0"/>
    <s v="Dell"/>
    <n v="720"/>
    <s v="Healthy"/>
    <n v="455.02"/>
    <n v="2730.12"/>
    <s v="High"/>
  </r>
  <r>
    <x v="27"/>
    <s v="ORD0092"/>
    <s v="SKU08"/>
    <x v="5"/>
    <x v="2"/>
    <n v="3"/>
    <x v="75"/>
    <n v="2550"/>
    <n v="18"/>
    <x v="1"/>
    <s v="Sony"/>
    <n v="58"/>
    <s v="Healthy"/>
    <n v="68.42"/>
    <n v="205.26"/>
    <s v="Low"/>
  </r>
  <r>
    <x v="28"/>
    <s v="ORD0093"/>
    <s v="SKU03"/>
    <x v="8"/>
    <x v="1"/>
    <n v="5"/>
    <x v="76"/>
    <n v="1034"/>
    <n v="12"/>
    <x v="2"/>
    <s v="Apple"/>
    <n v="640"/>
    <s v="Healthy"/>
    <n v="349.01"/>
    <n v="1745.0500000000002"/>
    <s v="High"/>
  </r>
  <r>
    <x v="28"/>
    <s v="ORD0094"/>
    <s v="SKU10"/>
    <x v="2"/>
    <x v="2"/>
    <n v="5"/>
    <x v="77"/>
    <n v="2350"/>
    <n v="18"/>
    <x v="1"/>
    <s v="Logitech"/>
    <n v="15"/>
    <s v="Healthy"/>
    <n v="23.22"/>
    <n v="116.1"/>
    <s v="Low"/>
  </r>
  <r>
    <x v="28"/>
    <s v="ORD0095"/>
    <s v="SKU03"/>
    <x v="8"/>
    <x v="0"/>
    <n v="1"/>
    <x v="78"/>
    <n v="1034"/>
    <n v="12"/>
    <x v="2"/>
    <s v="Apple"/>
    <n v="640"/>
    <s v="Healthy"/>
    <n v="359"/>
    <n v="359"/>
    <s v="Low"/>
  </r>
  <r>
    <x v="29"/>
    <s v="ORD0096"/>
    <s v="SKU11"/>
    <x v="11"/>
    <x v="1"/>
    <n v="3"/>
    <x v="79"/>
    <n v="1432"/>
    <n v="14"/>
    <x v="4"/>
    <s v="Anker"/>
    <n v="48"/>
    <s v="Healthy"/>
    <n v="69.81"/>
    <n v="209.43"/>
    <s v="Low"/>
  </r>
  <r>
    <x v="29"/>
    <s v="ORD0097"/>
    <s v="SKU03"/>
    <x v="8"/>
    <x v="2"/>
    <n v="5"/>
    <x v="21"/>
    <n v="1034"/>
    <n v="12"/>
    <x v="2"/>
    <s v="Apple"/>
    <n v="640"/>
    <s v="Healthy"/>
    <n v="339.0200000000001"/>
    <n v="1695.1000000000004"/>
    <s v="High"/>
  </r>
  <r>
    <x v="29"/>
    <s v="ORD0098"/>
    <s v="SKU12"/>
    <x v="7"/>
    <x v="2"/>
    <n v="5"/>
    <x v="80"/>
    <n v="1374"/>
    <n v="14"/>
    <x v="4"/>
    <s v="Logitech"/>
    <n v="34"/>
    <s v="Healthy"/>
    <n v="53.22"/>
    <n v="266.10000000000002"/>
    <s v="Low"/>
  </r>
  <r>
    <x v="29"/>
    <s v="ORD0099"/>
    <s v="SKU01"/>
    <x v="0"/>
    <x v="3"/>
    <n v="2"/>
    <x v="81"/>
    <n v="707"/>
    <n v="8"/>
    <x v="0"/>
    <s v="Dell"/>
    <n v="720"/>
    <s v="Healthy"/>
    <n v="490.99"/>
    <n v="981.98"/>
    <s v="High"/>
  </r>
  <r>
    <x v="30"/>
    <s v="ORD0100"/>
    <s v="SKU10"/>
    <x v="2"/>
    <x v="2"/>
    <n v="4"/>
    <x v="82"/>
    <n v="2350"/>
    <n v="18"/>
    <x v="1"/>
    <s v="Logitech"/>
    <n v="15"/>
    <s v="Healthy"/>
    <n v="23.22"/>
    <n v="92.88"/>
    <s v="Low"/>
  </r>
  <r>
    <x v="30"/>
    <s v="ORD0101"/>
    <s v="SKU04"/>
    <x v="3"/>
    <x v="2"/>
    <n v="1"/>
    <x v="83"/>
    <n v="1008"/>
    <n v="12"/>
    <x v="2"/>
    <s v="Samsung"/>
    <n v="280"/>
    <s v="Healthy"/>
    <n v="258.02"/>
    <n v="258.02"/>
    <s v="Low"/>
  </r>
  <r>
    <x v="30"/>
    <s v="ORD0102"/>
    <s v="SKU11"/>
    <x v="11"/>
    <x v="2"/>
    <n v="1"/>
    <x v="72"/>
    <n v="1432"/>
    <n v="14"/>
    <x v="4"/>
    <s v="Anker"/>
    <n v="48"/>
    <s v="Healthy"/>
    <n v="68.62"/>
    <n v="68.62"/>
    <s v="Low"/>
  </r>
  <r>
    <x v="31"/>
    <s v="ORD0103"/>
    <s v="SKU07"/>
    <x v="10"/>
    <x v="1"/>
    <n v="4"/>
    <x v="84"/>
    <n v="772"/>
    <n v="10"/>
    <x v="3"/>
    <s v="Samsung"/>
    <n v="220"/>
    <s v="Healthy"/>
    <n v="224.51"/>
    <n v="898.04"/>
    <s v="Low"/>
  </r>
  <r>
    <x v="31"/>
    <s v="ORD0104"/>
    <s v="SKU04"/>
    <x v="3"/>
    <x v="0"/>
    <n v="1"/>
    <x v="85"/>
    <n v="1008"/>
    <n v="12"/>
    <x v="2"/>
    <s v="Samsung"/>
    <n v="280"/>
    <s v="Healthy"/>
    <n v="269"/>
    <n v="269"/>
    <s v="Low"/>
  </r>
  <r>
    <x v="31"/>
    <s v="ORD0105"/>
    <s v="SKU05"/>
    <x v="9"/>
    <x v="2"/>
    <n v="8"/>
    <x v="86"/>
    <n v="578"/>
    <n v="7"/>
    <x v="5"/>
    <s v="Apple"/>
    <n v="360"/>
    <s v="Healthy"/>
    <n v="325.02"/>
    <n v="2600.16"/>
    <s v="High"/>
  </r>
  <r>
    <x v="32"/>
    <s v="ORD0106"/>
    <s v="SKU09"/>
    <x v="6"/>
    <x v="1"/>
    <n v="10"/>
    <x v="87"/>
    <n v="2442"/>
    <n v="18"/>
    <x v="1"/>
    <s v="Logitech"/>
    <n v="22"/>
    <s v="Healthy"/>
    <n v="36.410000000000004"/>
    <n v="364.1"/>
    <s v="Low"/>
  </r>
  <r>
    <x v="32"/>
    <s v="ORD0107"/>
    <s v="SKU08"/>
    <x v="5"/>
    <x v="2"/>
    <n v="1"/>
    <x v="9"/>
    <n v="2550"/>
    <n v="18"/>
    <x v="1"/>
    <s v="Sony"/>
    <n v="58"/>
    <s v="Healthy"/>
    <n v="68.42"/>
    <n v="68.42"/>
    <s v="Low"/>
  </r>
  <r>
    <x v="32"/>
    <s v="ORD0108"/>
    <s v="SKU12"/>
    <x v="7"/>
    <x v="0"/>
    <n v="8"/>
    <x v="88"/>
    <n v="1374"/>
    <n v="14"/>
    <x v="4"/>
    <s v="Logitech"/>
    <n v="34"/>
    <s v="Healthy"/>
    <n v="55"/>
    <n v="440"/>
    <s v="Low"/>
  </r>
  <r>
    <x v="33"/>
    <s v="ORD0109"/>
    <s v="SKU02"/>
    <x v="1"/>
    <x v="1"/>
    <n v="4"/>
    <x v="89"/>
    <n v="771"/>
    <n v="8"/>
    <x v="0"/>
    <s v="HP"/>
    <n v="860"/>
    <s v="Healthy"/>
    <n v="525.01"/>
    <n v="2100.04"/>
    <s v="High"/>
  </r>
  <r>
    <x v="33"/>
    <s v="ORD0110"/>
    <s v="SKU05"/>
    <x v="9"/>
    <x v="3"/>
    <n v="2"/>
    <x v="22"/>
    <n v="578"/>
    <n v="7"/>
    <x v="5"/>
    <s v="Apple"/>
    <n v="360"/>
    <s v="Healthy"/>
    <n v="345.99"/>
    <n v="691.98"/>
    <s v="Low"/>
  </r>
  <r>
    <x v="33"/>
    <s v="ORD0111"/>
    <s v="SKU06"/>
    <x v="4"/>
    <x v="3"/>
    <n v="1"/>
    <x v="90"/>
    <n v="802"/>
    <n v="10"/>
    <x v="3"/>
    <s v="LG"/>
    <n v="155"/>
    <s v="Healthy"/>
    <n v="177.29000000000002"/>
    <n v="177.29000000000002"/>
    <s v="Low"/>
  </r>
  <r>
    <x v="34"/>
    <s v="ORD0112"/>
    <s v="SKU01"/>
    <x v="0"/>
    <x v="2"/>
    <n v="3"/>
    <x v="91"/>
    <n v="707"/>
    <n v="8"/>
    <x v="0"/>
    <s v="Dell"/>
    <n v="720"/>
    <s v="Healthy"/>
    <n v="455.02"/>
    <n v="1365.06"/>
    <s v="High"/>
  </r>
  <r>
    <x v="34"/>
    <s v="ORD0113"/>
    <s v="SKU10"/>
    <x v="2"/>
    <x v="3"/>
    <n v="3"/>
    <x v="92"/>
    <n v="2350"/>
    <n v="18"/>
    <x v="1"/>
    <s v="Logitech"/>
    <n v="15"/>
    <s v="Healthy"/>
    <n v="24.39"/>
    <n v="73.17"/>
    <s v="Low"/>
  </r>
  <r>
    <x v="34"/>
    <s v="ORD0114"/>
    <s v="SKU06"/>
    <x v="4"/>
    <x v="0"/>
    <n v="3"/>
    <x v="93"/>
    <n v="802"/>
    <n v="10"/>
    <x v="3"/>
    <s v="LG"/>
    <n v="155"/>
    <s v="Healthy"/>
    <n v="174"/>
    <n v="522"/>
    <s v="Low"/>
  </r>
  <r>
    <x v="34"/>
    <s v="ORD0115"/>
    <s v="SKU05"/>
    <x v="9"/>
    <x v="1"/>
    <n v="5"/>
    <x v="94"/>
    <n v="578"/>
    <n v="7"/>
    <x v="5"/>
    <s v="Apple"/>
    <n v="360"/>
    <s v="Healthy"/>
    <n v="332.01"/>
    <n v="1660.0500000000002"/>
    <s v="High"/>
  </r>
  <r>
    <x v="35"/>
    <s v="ORD0116"/>
    <s v="SKU04"/>
    <x v="3"/>
    <x v="1"/>
    <n v="2"/>
    <x v="95"/>
    <n v="1008"/>
    <n v="12"/>
    <x v="2"/>
    <s v="Samsung"/>
    <n v="280"/>
    <s v="Healthy"/>
    <n v="263.51"/>
    <n v="527.02"/>
    <s v="Low"/>
  </r>
  <r>
    <x v="35"/>
    <s v="ORD0117"/>
    <s v="SKU06"/>
    <x v="4"/>
    <x v="1"/>
    <n v="1"/>
    <x v="96"/>
    <n v="802"/>
    <n v="10"/>
    <x v="3"/>
    <s v="LG"/>
    <n v="155"/>
    <s v="Healthy"/>
    <n v="170.70999999999998"/>
    <n v="170.70999999999998"/>
    <s v="Low"/>
  </r>
  <r>
    <x v="35"/>
    <s v="ORD0118"/>
    <s v="SKU06"/>
    <x v="4"/>
    <x v="2"/>
    <n v="3"/>
    <x v="97"/>
    <n v="802"/>
    <n v="10"/>
    <x v="3"/>
    <s v="LG"/>
    <n v="155"/>
    <s v="Healthy"/>
    <n v="167.42000000000002"/>
    <n v="502.26"/>
    <s v="Low"/>
  </r>
  <r>
    <x v="35"/>
    <s v="ORD0119"/>
    <s v="SKU11"/>
    <x v="11"/>
    <x v="3"/>
    <n v="2"/>
    <x v="98"/>
    <n v="1432"/>
    <n v="14"/>
    <x v="4"/>
    <s v="Anker"/>
    <n v="48"/>
    <s v="Healthy"/>
    <n v="72.19"/>
    <n v="144.38"/>
    <s v="Low"/>
  </r>
  <r>
    <x v="36"/>
    <s v="ORD0120"/>
    <s v="SKU01"/>
    <x v="0"/>
    <x v="0"/>
    <n v="2"/>
    <x v="1"/>
    <n v="707"/>
    <n v="8"/>
    <x v="0"/>
    <s v="Dell"/>
    <n v="720"/>
    <s v="Healthy"/>
    <n v="479"/>
    <n v="958"/>
    <s v="High"/>
  </r>
  <r>
    <x v="36"/>
    <s v="ORD0121"/>
    <s v="SKU08"/>
    <x v="5"/>
    <x v="3"/>
    <n v="2"/>
    <x v="99"/>
    <n v="2550"/>
    <n v="18"/>
    <x v="1"/>
    <s v="Sony"/>
    <n v="58"/>
    <s v="Healthy"/>
    <n v="72.289999999999992"/>
    <n v="144.57999999999998"/>
    <s v="Low"/>
  </r>
  <r>
    <x v="36"/>
    <s v="ORD0122"/>
    <s v="SKU07"/>
    <x v="10"/>
    <x v="0"/>
    <n v="2"/>
    <x v="100"/>
    <n v="772"/>
    <n v="10"/>
    <x v="3"/>
    <s v="Samsung"/>
    <n v="220"/>
    <s v="Healthy"/>
    <n v="229"/>
    <n v="458"/>
    <s v="Low"/>
  </r>
  <r>
    <x v="36"/>
    <s v="ORD0123"/>
    <s v="SKU11"/>
    <x v="11"/>
    <x v="2"/>
    <n v="1"/>
    <x v="72"/>
    <n v="1432"/>
    <n v="14"/>
    <x v="4"/>
    <s v="Anker"/>
    <n v="48"/>
    <s v="Healthy"/>
    <n v="68.62"/>
    <n v="68.62"/>
    <s v="Low"/>
  </r>
  <r>
    <x v="37"/>
    <s v="ORD0124"/>
    <s v="SKU08"/>
    <x v="5"/>
    <x v="3"/>
    <n v="2"/>
    <x v="99"/>
    <n v="2550"/>
    <n v="18"/>
    <x v="1"/>
    <s v="Sony"/>
    <n v="58"/>
    <s v="Healthy"/>
    <n v="72.289999999999992"/>
    <n v="144.57999999999998"/>
    <s v="Low"/>
  </r>
  <r>
    <x v="37"/>
    <s v="ORD0125"/>
    <s v="SKU10"/>
    <x v="2"/>
    <x v="3"/>
    <n v="3"/>
    <x v="92"/>
    <n v="2350"/>
    <n v="18"/>
    <x v="1"/>
    <s v="Logitech"/>
    <n v="15"/>
    <s v="Healthy"/>
    <n v="24.39"/>
    <n v="73.17"/>
    <s v="Low"/>
  </r>
  <r>
    <x v="38"/>
    <s v="ORD0126"/>
    <s v="SKU03"/>
    <x v="8"/>
    <x v="0"/>
    <n v="1"/>
    <x v="78"/>
    <n v="1034"/>
    <n v="12"/>
    <x v="2"/>
    <s v="Apple"/>
    <n v="640"/>
    <s v="Healthy"/>
    <n v="359"/>
    <n v="359"/>
    <s v="Low"/>
  </r>
  <r>
    <x v="38"/>
    <s v="ORD0127"/>
    <s v="SKU07"/>
    <x v="10"/>
    <x v="2"/>
    <n v="1"/>
    <x v="101"/>
    <n v="772"/>
    <n v="10"/>
    <x v="3"/>
    <s v="Samsung"/>
    <n v="220"/>
    <s v="Healthy"/>
    <n v="220.01999999999998"/>
    <n v="220.01999999999998"/>
    <s v="Low"/>
  </r>
  <r>
    <x v="39"/>
    <s v="ORD0128"/>
    <s v="SKU09"/>
    <x v="6"/>
    <x v="0"/>
    <n v="3"/>
    <x v="102"/>
    <n v="2442"/>
    <n v="18"/>
    <x v="1"/>
    <s v="Logitech"/>
    <n v="22"/>
    <s v="Healthy"/>
    <n v="37"/>
    <n v="111"/>
    <s v="Low"/>
  </r>
  <r>
    <x v="39"/>
    <s v="ORD0129"/>
    <s v="SKU08"/>
    <x v="5"/>
    <x v="0"/>
    <n v="3"/>
    <x v="24"/>
    <n v="2550"/>
    <n v="18"/>
    <x v="1"/>
    <s v="Sony"/>
    <n v="58"/>
    <s v="Healthy"/>
    <n v="71"/>
    <n v="213"/>
    <s v="Low"/>
  </r>
  <r>
    <x v="39"/>
    <s v="ORD0130"/>
    <s v="SKU01"/>
    <x v="0"/>
    <x v="3"/>
    <n v="4"/>
    <x v="103"/>
    <n v="707"/>
    <n v="8"/>
    <x v="0"/>
    <s v="Dell"/>
    <n v="720"/>
    <s v="Healthy"/>
    <n v="490.99"/>
    <n v="1963.96"/>
    <s v="High"/>
  </r>
  <r>
    <x v="40"/>
    <s v="ORD0131"/>
    <s v="SKU06"/>
    <x v="4"/>
    <x v="0"/>
    <n v="8"/>
    <x v="104"/>
    <n v="802"/>
    <n v="10"/>
    <x v="3"/>
    <s v="LG"/>
    <n v="155"/>
    <s v="Healthy"/>
    <n v="174"/>
    <n v="1392"/>
    <s v="High"/>
  </r>
  <r>
    <x v="40"/>
    <s v="ORD0132"/>
    <s v="SKU08"/>
    <x v="5"/>
    <x v="0"/>
    <n v="1"/>
    <x v="42"/>
    <n v="2550"/>
    <n v="18"/>
    <x v="1"/>
    <s v="Sony"/>
    <n v="58"/>
    <s v="Healthy"/>
    <n v="71"/>
    <n v="71"/>
    <s v="Low"/>
  </r>
  <r>
    <x v="40"/>
    <s v="ORD0133"/>
    <s v="SKU11"/>
    <x v="11"/>
    <x v="1"/>
    <n v="4"/>
    <x v="105"/>
    <n v="1432"/>
    <n v="14"/>
    <x v="4"/>
    <s v="Anker"/>
    <n v="48"/>
    <s v="Healthy"/>
    <n v="69.81"/>
    <n v="279.24"/>
    <s v="Low"/>
  </r>
  <r>
    <x v="41"/>
    <s v="ORD0134"/>
    <s v="SKU12"/>
    <x v="7"/>
    <x v="3"/>
    <n v="8"/>
    <x v="106"/>
    <n v="1374"/>
    <n v="14"/>
    <x v="4"/>
    <s v="Logitech"/>
    <n v="34"/>
    <s v="Healthy"/>
    <n v="55.89"/>
    <n v="447.12"/>
    <s v="Low"/>
  </r>
  <r>
    <x v="41"/>
    <s v="ORD0135"/>
    <s v="SKU11"/>
    <x v="11"/>
    <x v="3"/>
    <n v="4"/>
    <x v="107"/>
    <n v="1432"/>
    <n v="14"/>
    <x v="4"/>
    <s v="Anker"/>
    <n v="48"/>
    <s v="Healthy"/>
    <n v="72.19"/>
    <n v="288.76"/>
    <s v="Low"/>
  </r>
  <r>
    <x v="41"/>
    <s v="ORD0136"/>
    <s v="SKU08"/>
    <x v="5"/>
    <x v="2"/>
    <n v="3"/>
    <x v="75"/>
    <n v="2550"/>
    <n v="18"/>
    <x v="1"/>
    <s v="Sony"/>
    <n v="58"/>
    <s v="Healthy"/>
    <n v="68.42"/>
    <n v="205.26"/>
    <s v="Low"/>
  </r>
  <r>
    <x v="41"/>
    <s v="ORD0137"/>
    <s v="SKU11"/>
    <x v="11"/>
    <x v="3"/>
    <n v="2"/>
    <x v="98"/>
    <n v="1432"/>
    <n v="14"/>
    <x v="4"/>
    <s v="Anker"/>
    <n v="48"/>
    <s v="Healthy"/>
    <n v="72.19"/>
    <n v="144.38"/>
    <s v="Low"/>
  </r>
  <r>
    <x v="42"/>
    <s v="ORD0138"/>
    <s v="SKU04"/>
    <x v="3"/>
    <x v="3"/>
    <n v="4"/>
    <x v="70"/>
    <n v="1008"/>
    <n v="12"/>
    <x v="2"/>
    <s v="Samsung"/>
    <n v="280"/>
    <s v="Healthy"/>
    <n v="274.49"/>
    <n v="1097.96"/>
    <s v="High"/>
  </r>
  <r>
    <x v="42"/>
    <s v="ORD0139"/>
    <s v="SKU08"/>
    <x v="5"/>
    <x v="3"/>
    <n v="1"/>
    <x v="40"/>
    <n v="2550"/>
    <n v="18"/>
    <x v="1"/>
    <s v="Sony"/>
    <n v="58"/>
    <s v="Healthy"/>
    <n v="72.289999999999992"/>
    <n v="72.289999999999992"/>
    <s v="Low"/>
  </r>
  <r>
    <x v="42"/>
    <s v="ORD0140"/>
    <s v="SKU01"/>
    <x v="0"/>
    <x v="0"/>
    <n v="1"/>
    <x v="0"/>
    <n v="707"/>
    <n v="8"/>
    <x v="0"/>
    <s v="Dell"/>
    <n v="720"/>
    <s v="Healthy"/>
    <n v="479"/>
    <n v="479"/>
    <s v="Low"/>
  </r>
  <r>
    <x v="43"/>
    <s v="ORD0141"/>
    <s v="SKU08"/>
    <x v="5"/>
    <x v="0"/>
    <n v="1"/>
    <x v="42"/>
    <n v="2550"/>
    <n v="18"/>
    <x v="1"/>
    <s v="Sony"/>
    <n v="58"/>
    <s v="Healthy"/>
    <n v="71"/>
    <n v="71"/>
    <s v="Low"/>
  </r>
  <r>
    <x v="43"/>
    <s v="ORD0142"/>
    <s v="SKU09"/>
    <x v="6"/>
    <x v="3"/>
    <n v="1"/>
    <x v="16"/>
    <n v="2442"/>
    <n v="18"/>
    <x v="1"/>
    <s v="Logitech"/>
    <n v="22"/>
    <s v="Healthy"/>
    <n v="37.590000000000003"/>
    <n v="37.590000000000003"/>
    <s v="Low"/>
  </r>
  <r>
    <x v="43"/>
    <s v="ORD0143"/>
    <s v="SKU06"/>
    <x v="4"/>
    <x v="1"/>
    <n v="2"/>
    <x v="108"/>
    <n v="802"/>
    <n v="10"/>
    <x v="3"/>
    <s v="LG"/>
    <n v="155"/>
    <s v="Healthy"/>
    <n v="170.70999999999998"/>
    <n v="341.41999999999996"/>
    <s v="Low"/>
  </r>
  <r>
    <x v="44"/>
    <s v="ORD0144"/>
    <s v="SKU06"/>
    <x v="4"/>
    <x v="2"/>
    <n v="3"/>
    <x v="97"/>
    <n v="802"/>
    <n v="10"/>
    <x v="3"/>
    <s v="LG"/>
    <n v="155"/>
    <s v="Healthy"/>
    <n v="167.42000000000002"/>
    <n v="502.26"/>
    <s v="Low"/>
  </r>
  <r>
    <x v="44"/>
    <s v="ORD0145"/>
    <s v="SKU09"/>
    <x v="6"/>
    <x v="2"/>
    <n v="4"/>
    <x v="19"/>
    <n v="2442"/>
    <n v="18"/>
    <x v="1"/>
    <s v="Logitech"/>
    <n v="22"/>
    <s v="Healthy"/>
    <n v="35.82"/>
    <n v="143.28"/>
    <s v="Low"/>
  </r>
  <r>
    <x v="45"/>
    <s v="ORD0146"/>
    <s v="SKU01"/>
    <x v="0"/>
    <x v="1"/>
    <n v="4"/>
    <x v="109"/>
    <n v="707"/>
    <n v="8"/>
    <x v="0"/>
    <s v="Dell"/>
    <n v="720"/>
    <s v="Healthy"/>
    <n v="467.01"/>
    <n v="1868.04"/>
    <s v="High"/>
  </r>
  <r>
    <x v="45"/>
    <s v="ORD0147"/>
    <s v="SKU11"/>
    <x v="11"/>
    <x v="2"/>
    <n v="2"/>
    <x v="110"/>
    <n v="1432"/>
    <n v="14"/>
    <x v="4"/>
    <s v="Anker"/>
    <n v="48"/>
    <s v="Healthy"/>
    <n v="68.62"/>
    <n v="137.24"/>
    <s v="Low"/>
  </r>
  <r>
    <x v="46"/>
    <s v="ORD0148"/>
    <s v="SKU08"/>
    <x v="5"/>
    <x v="3"/>
    <n v="1"/>
    <x v="40"/>
    <n v="2550"/>
    <n v="18"/>
    <x v="1"/>
    <s v="Sony"/>
    <n v="58"/>
    <s v="Healthy"/>
    <n v="72.289999999999992"/>
    <n v="72.289999999999992"/>
    <s v="Low"/>
  </r>
  <r>
    <x v="46"/>
    <s v="ORD0149"/>
    <s v="SKU04"/>
    <x v="3"/>
    <x v="1"/>
    <n v="1"/>
    <x v="7"/>
    <n v="1008"/>
    <n v="12"/>
    <x v="2"/>
    <s v="Samsung"/>
    <n v="280"/>
    <s v="Healthy"/>
    <n v="263.51"/>
    <n v="263.51"/>
    <s v="Low"/>
  </r>
  <r>
    <x v="46"/>
    <s v="ORD0150"/>
    <s v="SKU05"/>
    <x v="9"/>
    <x v="3"/>
    <n v="2"/>
    <x v="22"/>
    <n v="578"/>
    <n v="7"/>
    <x v="5"/>
    <s v="Apple"/>
    <n v="360"/>
    <s v="Healthy"/>
    <n v="345.99"/>
    <n v="691.98"/>
    <s v="Low"/>
  </r>
  <r>
    <x v="46"/>
    <s v="ORD0151"/>
    <s v="SKU03"/>
    <x v="8"/>
    <x v="1"/>
    <n v="1"/>
    <x v="55"/>
    <n v="1034"/>
    <n v="12"/>
    <x v="2"/>
    <s v="Apple"/>
    <n v="640"/>
    <s v="Healthy"/>
    <n v="349.01"/>
    <n v="349.01"/>
    <s v="Low"/>
  </r>
  <r>
    <x v="47"/>
    <s v="ORD0152"/>
    <s v="SKU01"/>
    <x v="0"/>
    <x v="1"/>
    <n v="3"/>
    <x v="111"/>
    <n v="707"/>
    <n v="8"/>
    <x v="0"/>
    <s v="Dell"/>
    <n v="720"/>
    <s v="Healthy"/>
    <n v="467.01"/>
    <n v="1401.0300000000002"/>
    <s v="High"/>
  </r>
  <r>
    <x v="47"/>
    <s v="ORD0153"/>
    <s v="SKU01"/>
    <x v="0"/>
    <x v="3"/>
    <n v="1"/>
    <x v="112"/>
    <n v="707"/>
    <n v="8"/>
    <x v="0"/>
    <s v="Dell"/>
    <n v="720"/>
    <s v="Healthy"/>
    <n v="490.99"/>
    <n v="490.99"/>
    <s v="Low"/>
  </r>
  <r>
    <x v="47"/>
    <s v="ORD0154"/>
    <s v="SKU07"/>
    <x v="10"/>
    <x v="0"/>
    <n v="2"/>
    <x v="100"/>
    <n v="772"/>
    <n v="10"/>
    <x v="3"/>
    <s v="Samsung"/>
    <n v="220"/>
    <s v="Healthy"/>
    <n v="229"/>
    <n v="458"/>
    <s v="Low"/>
  </r>
  <r>
    <x v="47"/>
    <s v="ORD0155"/>
    <s v="SKU03"/>
    <x v="8"/>
    <x v="1"/>
    <n v="4"/>
    <x v="113"/>
    <n v="1034"/>
    <n v="12"/>
    <x v="2"/>
    <s v="Apple"/>
    <n v="640"/>
    <s v="Healthy"/>
    <n v="349.01"/>
    <n v="1396.04"/>
    <s v="High"/>
  </r>
  <r>
    <x v="48"/>
    <s v="ORD0156"/>
    <s v="SKU10"/>
    <x v="2"/>
    <x v="2"/>
    <n v="1"/>
    <x v="114"/>
    <n v="2350"/>
    <n v="18"/>
    <x v="1"/>
    <s v="Logitech"/>
    <n v="15"/>
    <s v="Healthy"/>
    <n v="23.22"/>
    <n v="23.22"/>
    <s v="Low"/>
  </r>
  <r>
    <x v="48"/>
    <s v="ORD0157"/>
    <s v="SKU02"/>
    <x v="1"/>
    <x v="0"/>
    <n v="3"/>
    <x v="69"/>
    <n v="771"/>
    <n v="8"/>
    <x v="0"/>
    <s v="HP"/>
    <n v="860"/>
    <s v="Healthy"/>
    <n v="539"/>
    <n v="1617"/>
    <s v="High"/>
  </r>
  <r>
    <x v="48"/>
    <s v="ORD0158"/>
    <s v="SKU12"/>
    <x v="7"/>
    <x v="1"/>
    <n v="3"/>
    <x v="115"/>
    <n v="1374"/>
    <n v="14"/>
    <x v="4"/>
    <s v="Logitech"/>
    <n v="34"/>
    <s v="Healthy"/>
    <n v="54.11"/>
    <n v="162.32999999999998"/>
    <s v="Low"/>
  </r>
  <r>
    <x v="49"/>
    <s v="ORD0159"/>
    <s v="SKU09"/>
    <x v="6"/>
    <x v="3"/>
    <n v="6"/>
    <x v="116"/>
    <n v="2442"/>
    <n v="18"/>
    <x v="1"/>
    <s v="Logitech"/>
    <n v="22"/>
    <s v="Healthy"/>
    <n v="37.590000000000003"/>
    <n v="225.54000000000002"/>
    <s v="Low"/>
  </r>
  <r>
    <x v="49"/>
    <s v="ORD0160"/>
    <s v="SKU03"/>
    <x v="8"/>
    <x v="0"/>
    <n v="1"/>
    <x v="78"/>
    <n v="1034"/>
    <n v="12"/>
    <x v="2"/>
    <s v="Apple"/>
    <n v="640"/>
    <s v="Healthy"/>
    <n v="359"/>
    <n v="359"/>
    <s v="Low"/>
  </r>
  <r>
    <x v="49"/>
    <s v="ORD0161"/>
    <s v="SKU03"/>
    <x v="8"/>
    <x v="3"/>
    <n v="3"/>
    <x v="117"/>
    <n v="1034"/>
    <n v="12"/>
    <x v="2"/>
    <s v="Apple"/>
    <n v="640"/>
    <s v="Healthy"/>
    <n v="368.9899999999999"/>
    <n v="1106.9699999999998"/>
    <s v="High"/>
  </r>
  <r>
    <x v="49"/>
    <s v="ORD0162"/>
    <s v="SKU04"/>
    <x v="3"/>
    <x v="3"/>
    <n v="4"/>
    <x v="70"/>
    <n v="1008"/>
    <n v="12"/>
    <x v="2"/>
    <s v="Samsung"/>
    <n v="280"/>
    <s v="Healthy"/>
    <n v="274.49"/>
    <n v="1097.96"/>
    <s v="High"/>
  </r>
  <r>
    <x v="50"/>
    <s v="ORD0163"/>
    <s v="SKU09"/>
    <x v="6"/>
    <x v="3"/>
    <n v="1"/>
    <x v="16"/>
    <n v="2442"/>
    <n v="18"/>
    <x v="1"/>
    <s v="Logitech"/>
    <n v="22"/>
    <s v="Healthy"/>
    <n v="37.590000000000003"/>
    <n v="37.590000000000003"/>
    <s v="Low"/>
  </r>
  <r>
    <x v="50"/>
    <s v="ORD0164"/>
    <s v="SKU10"/>
    <x v="2"/>
    <x v="2"/>
    <n v="1"/>
    <x v="114"/>
    <n v="2350"/>
    <n v="18"/>
    <x v="1"/>
    <s v="Logitech"/>
    <n v="15"/>
    <s v="Healthy"/>
    <n v="23.22"/>
    <n v="23.22"/>
    <s v="Low"/>
  </r>
  <r>
    <x v="50"/>
    <s v="ORD0165"/>
    <s v="SKU01"/>
    <x v="0"/>
    <x v="1"/>
    <n v="3"/>
    <x v="111"/>
    <n v="707"/>
    <n v="8"/>
    <x v="0"/>
    <s v="Dell"/>
    <n v="720"/>
    <s v="Healthy"/>
    <n v="467.01"/>
    <n v="1401.0300000000002"/>
    <s v="High"/>
  </r>
  <r>
    <x v="51"/>
    <s v="ORD0166"/>
    <s v="SKU06"/>
    <x v="4"/>
    <x v="3"/>
    <n v="1"/>
    <x v="90"/>
    <n v="802"/>
    <n v="10"/>
    <x v="3"/>
    <s v="LG"/>
    <n v="155"/>
    <s v="Healthy"/>
    <n v="177.29000000000002"/>
    <n v="177.29000000000002"/>
    <s v="Low"/>
  </r>
  <r>
    <x v="51"/>
    <s v="ORD0167"/>
    <s v="SKU09"/>
    <x v="6"/>
    <x v="3"/>
    <n v="1"/>
    <x v="16"/>
    <n v="2442"/>
    <n v="18"/>
    <x v="1"/>
    <s v="Logitech"/>
    <n v="22"/>
    <s v="Healthy"/>
    <n v="37.590000000000003"/>
    <n v="37.590000000000003"/>
    <s v="Low"/>
  </r>
  <r>
    <x v="51"/>
    <s v="ORD0168"/>
    <s v="SKU10"/>
    <x v="2"/>
    <x v="2"/>
    <n v="3"/>
    <x v="118"/>
    <n v="2350"/>
    <n v="18"/>
    <x v="1"/>
    <s v="Logitech"/>
    <n v="15"/>
    <s v="Healthy"/>
    <n v="23.22"/>
    <n v="69.66"/>
    <s v="Low"/>
  </r>
  <r>
    <x v="52"/>
    <s v="ORD0169"/>
    <s v="SKU12"/>
    <x v="7"/>
    <x v="2"/>
    <n v="2"/>
    <x v="119"/>
    <n v="1374"/>
    <n v="14"/>
    <x v="4"/>
    <s v="Logitech"/>
    <n v="34"/>
    <s v="Healthy"/>
    <n v="53.22"/>
    <n v="106.44"/>
    <s v="Low"/>
  </r>
  <r>
    <x v="52"/>
    <s v="ORD0170"/>
    <s v="SKU06"/>
    <x v="4"/>
    <x v="1"/>
    <n v="2"/>
    <x v="108"/>
    <n v="802"/>
    <n v="10"/>
    <x v="3"/>
    <s v="LG"/>
    <n v="155"/>
    <s v="Healthy"/>
    <n v="170.70999999999998"/>
    <n v="341.41999999999996"/>
    <s v="Low"/>
  </r>
  <r>
    <x v="53"/>
    <s v="ORD0171"/>
    <s v="SKU11"/>
    <x v="11"/>
    <x v="2"/>
    <n v="1"/>
    <x v="72"/>
    <n v="1432"/>
    <n v="14"/>
    <x v="4"/>
    <s v="Anker"/>
    <n v="48"/>
    <s v="Healthy"/>
    <n v="68.62"/>
    <n v="68.62"/>
    <s v="Low"/>
  </r>
  <r>
    <x v="53"/>
    <s v="ORD0172"/>
    <s v="SKU12"/>
    <x v="7"/>
    <x v="3"/>
    <n v="5"/>
    <x v="120"/>
    <n v="1374"/>
    <n v="14"/>
    <x v="4"/>
    <s v="Logitech"/>
    <n v="34"/>
    <s v="Healthy"/>
    <n v="55.89"/>
    <n v="279.45"/>
    <s v="Low"/>
  </r>
  <r>
    <x v="53"/>
    <s v="ORD0173"/>
    <s v="SKU10"/>
    <x v="2"/>
    <x v="1"/>
    <n v="4"/>
    <x v="33"/>
    <n v="2350"/>
    <n v="18"/>
    <x v="1"/>
    <s v="Logitech"/>
    <n v="15"/>
    <s v="Healthy"/>
    <n v="23.61"/>
    <n v="94.44"/>
    <s v="Low"/>
  </r>
  <r>
    <x v="54"/>
    <s v="ORD0174"/>
    <s v="SKU04"/>
    <x v="3"/>
    <x v="2"/>
    <n v="3"/>
    <x v="58"/>
    <n v="1008"/>
    <n v="12"/>
    <x v="2"/>
    <s v="Samsung"/>
    <n v="280"/>
    <s v="Healthy"/>
    <n v="258.02"/>
    <n v="774.06"/>
    <s v="Low"/>
  </r>
  <r>
    <x v="54"/>
    <s v="ORD0175"/>
    <s v="SKU08"/>
    <x v="5"/>
    <x v="1"/>
    <n v="4"/>
    <x v="121"/>
    <n v="2550"/>
    <n v="18"/>
    <x v="1"/>
    <s v="Sony"/>
    <n v="58"/>
    <s v="Healthy"/>
    <n v="69.709999999999994"/>
    <n v="278.83999999999997"/>
    <s v="Low"/>
  </r>
  <r>
    <x v="54"/>
    <s v="ORD0176"/>
    <s v="SKU04"/>
    <x v="3"/>
    <x v="2"/>
    <n v="5"/>
    <x v="45"/>
    <n v="1008"/>
    <n v="12"/>
    <x v="2"/>
    <s v="Samsung"/>
    <n v="280"/>
    <s v="Healthy"/>
    <n v="258.02"/>
    <n v="1290.0999999999999"/>
    <s v="High"/>
  </r>
  <r>
    <x v="54"/>
    <s v="ORD0177"/>
    <s v="SKU02"/>
    <x v="1"/>
    <x v="2"/>
    <n v="1"/>
    <x v="61"/>
    <n v="771"/>
    <n v="8"/>
    <x v="0"/>
    <s v="HP"/>
    <n v="860"/>
    <s v="Healthy"/>
    <n v="511.02"/>
    <n v="511.02"/>
    <s v="Low"/>
  </r>
  <r>
    <x v="55"/>
    <s v="ORD0178"/>
    <s v="SKU09"/>
    <x v="6"/>
    <x v="1"/>
    <n v="1"/>
    <x v="10"/>
    <n v="2442"/>
    <n v="18"/>
    <x v="1"/>
    <s v="Logitech"/>
    <n v="22"/>
    <s v="Healthy"/>
    <n v="36.409999999999997"/>
    <n v="36.409999999999997"/>
    <s v="Low"/>
  </r>
  <r>
    <x v="55"/>
    <s v="ORD0179"/>
    <s v="SKU11"/>
    <x v="11"/>
    <x v="0"/>
    <n v="1"/>
    <x v="50"/>
    <n v="1432"/>
    <n v="14"/>
    <x v="4"/>
    <s v="Anker"/>
    <n v="48"/>
    <s v="Healthy"/>
    <n v="71"/>
    <n v="71"/>
    <s v="Low"/>
  </r>
  <r>
    <x v="55"/>
    <s v="ORD0180"/>
    <s v="SKU10"/>
    <x v="2"/>
    <x v="1"/>
    <n v="5"/>
    <x v="122"/>
    <n v="2350"/>
    <n v="18"/>
    <x v="1"/>
    <s v="Logitech"/>
    <n v="15"/>
    <s v="Healthy"/>
    <n v="23.61"/>
    <n v="118.05000000000001"/>
    <s v="Low"/>
  </r>
  <r>
    <x v="55"/>
    <s v="ORD0181"/>
    <s v="SKU09"/>
    <x v="6"/>
    <x v="0"/>
    <n v="1"/>
    <x v="123"/>
    <n v="2442"/>
    <n v="18"/>
    <x v="1"/>
    <s v="Logitech"/>
    <n v="22"/>
    <s v="Healthy"/>
    <n v="37"/>
    <n v="37"/>
    <s v="Low"/>
  </r>
  <r>
    <x v="56"/>
    <s v="ORD0182"/>
    <s v="SKU02"/>
    <x v="1"/>
    <x v="3"/>
    <n v="2"/>
    <x v="124"/>
    <n v="771"/>
    <n v="8"/>
    <x v="0"/>
    <s v="HP"/>
    <n v="860"/>
    <s v="Healthy"/>
    <n v="552.99"/>
    <n v="1105.98"/>
    <s v="High"/>
  </r>
  <r>
    <x v="56"/>
    <s v="ORD0183"/>
    <s v="SKU10"/>
    <x v="2"/>
    <x v="3"/>
    <n v="3"/>
    <x v="92"/>
    <n v="2350"/>
    <n v="18"/>
    <x v="1"/>
    <s v="Logitech"/>
    <n v="15"/>
    <s v="Healthy"/>
    <n v="24.39"/>
    <n v="73.17"/>
    <s v="Low"/>
  </r>
  <r>
    <x v="56"/>
    <s v="ORD0184"/>
    <s v="SKU08"/>
    <x v="5"/>
    <x v="2"/>
    <n v="1"/>
    <x v="9"/>
    <n v="2550"/>
    <n v="18"/>
    <x v="1"/>
    <s v="Sony"/>
    <n v="58"/>
    <s v="Healthy"/>
    <n v="68.42"/>
    <n v="68.42"/>
    <s v="Low"/>
  </r>
  <r>
    <x v="56"/>
    <s v="ORD0185"/>
    <s v="SKU04"/>
    <x v="3"/>
    <x v="3"/>
    <n v="2"/>
    <x v="14"/>
    <n v="1008"/>
    <n v="12"/>
    <x v="2"/>
    <s v="Samsung"/>
    <n v="280"/>
    <s v="Healthy"/>
    <n v="274.49"/>
    <n v="548.98"/>
    <s v="Low"/>
  </r>
  <r>
    <x v="57"/>
    <s v="ORD0186"/>
    <s v="SKU07"/>
    <x v="10"/>
    <x v="1"/>
    <n v="2"/>
    <x v="125"/>
    <n v="772"/>
    <n v="10"/>
    <x v="3"/>
    <s v="Samsung"/>
    <n v="220"/>
    <s v="Healthy"/>
    <n v="224.51"/>
    <n v="449.02"/>
    <s v="Low"/>
  </r>
  <r>
    <x v="57"/>
    <s v="ORD0187"/>
    <s v="SKU10"/>
    <x v="2"/>
    <x v="1"/>
    <n v="4"/>
    <x v="33"/>
    <n v="2350"/>
    <n v="18"/>
    <x v="1"/>
    <s v="Logitech"/>
    <n v="15"/>
    <s v="Healthy"/>
    <n v="23.61"/>
    <n v="94.44"/>
    <s v="Low"/>
  </r>
  <r>
    <x v="57"/>
    <s v="ORD0188"/>
    <s v="SKU04"/>
    <x v="3"/>
    <x v="0"/>
    <n v="1"/>
    <x v="85"/>
    <n v="1008"/>
    <n v="12"/>
    <x v="2"/>
    <s v="Samsung"/>
    <n v="280"/>
    <s v="Healthy"/>
    <n v="269"/>
    <n v="269"/>
    <s v="Low"/>
  </r>
  <r>
    <x v="57"/>
    <s v="ORD0189"/>
    <s v="SKU03"/>
    <x v="8"/>
    <x v="0"/>
    <n v="3"/>
    <x v="126"/>
    <n v="1034"/>
    <n v="12"/>
    <x v="2"/>
    <s v="Apple"/>
    <n v="640"/>
    <s v="Healthy"/>
    <n v="359"/>
    <n v="1077"/>
    <s v="High"/>
  </r>
  <r>
    <x v="58"/>
    <s v="ORD0190"/>
    <s v="SKU03"/>
    <x v="8"/>
    <x v="0"/>
    <n v="2"/>
    <x v="127"/>
    <n v="1034"/>
    <n v="12"/>
    <x v="2"/>
    <s v="Apple"/>
    <n v="640"/>
    <s v="Healthy"/>
    <n v="359"/>
    <n v="718"/>
    <s v="Low"/>
  </r>
  <r>
    <x v="58"/>
    <s v="ORD0191"/>
    <s v="SKU10"/>
    <x v="2"/>
    <x v="2"/>
    <n v="3"/>
    <x v="118"/>
    <n v="2350"/>
    <n v="18"/>
    <x v="1"/>
    <s v="Logitech"/>
    <n v="15"/>
    <s v="Healthy"/>
    <n v="23.22"/>
    <n v="69.66"/>
    <s v="Low"/>
  </r>
  <r>
    <x v="58"/>
    <s v="ORD0192"/>
    <s v="SKU04"/>
    <x v="3"/>
    <x v="0"/>
    <n v="1"/>
    <x v="85"/>
    <n v="1008"/>
    <n v="12"/>
    <x v="2"/>
    <s v="Samsung"/>
    <n v="280"/>
    <s v="Healthy"/>
    <n v="269"/>
    <n v="269"/>
    <s v="Low"/>
  </r>
  <r>
    <x v="59"/>
    <s v="ORD0193"/>
    <s v="SKU03"/>
    <x v="8"/>
    <x v="0"/>
    <n v="3"/>
    <x v="126"/>
    <n v="1034"/>
    <n v="12"/>
    <x v="2"/>
    <s v="Apple"/>
    <n v="640"/>
    <s v="Healthy"/>
    <n v="359"/>
    <n v="1077"/>
    <s v="High"/>
  </r>
  <r>
    <x v="59"/>
    <s v="ORD0194"/>
    <s v="SKU04"/>
    <x v="3"/>
    <x v="2"/>
    <n v="3"/>
    <x v="58"/>
    <n v="1008"/>
    <n v="12"/>
    <x v="2"/>
    <s v="Samsung"/>
    <n v="280"/>
    <s v="Healthy"/>
    <n v="258.02"/>
    <n v="774.06"/>
    <s v="Low"/>
  </r>
  <r>
    <x v="60"/>
    <s v="ORD0195"/>
    <s v="SKU03"/>
    <x v="8"/>
    <x v="2"/>
    <n v="2"/>
    <x v="128"/>
    <n v="1034"/>
    <n v="12"/>
    <x v="2"/>
    <s v="Apple"/>
    <n v="640"/>
    <s v="Healthy"/>
    <n v="339.02"/>
    <n v="678.04"/>
    <s v="Low"/>
  </r>
  <r>
    <x v="60"/>
    <s v="ORD0196"/>
    <s v="SKU11"/>
    <x v="11"/>
    <x v="3"/>
    <n v="2"/>
    <x v="98"/>
    <n v="1432"/>
    <n v="14"/>
    <x v="4"/>
    <s v="Anker"/>
    <n v="48"/>
    <s v="Healthy"/>
    <n v="72.19"/>
    <n v="144.38"/>
    <s v="Low"/>
  </r>
  <r>
    <x v="60"/>
    <s v="ORD0197"/>
    <s v="SKU07"/>
    <x v="10"/>
    <x v="0"/>
    <n v="1"/>
    <x v="23"/>
    <n v="772"/>
    <n v="10"/>
    <x v="3"/>
    <s v="Samsung"/>
    <n v="220"/>
    <s v="Healthy"/>
    <n v="229"/>
    <n v="229"/>
    <s v="Low"/>
  </r>
  <r>
    <x v="60"/>
    <s v="ORD0198"/>
    <s v="SKU12"/>
    <x v="7"/>
    <x v="1"/>
    <n v="5"/>
    <x v="52"/>
    <n v="1374"/>
    <n v="14"/>
    <x v="4"/>
    <s v="Logitech"/>
    <n v="34"/>
    <s v="Healthy"/>
    <n v="54.11"/>
    <n v="270.55"/>
    <s v="Low"/>
  </r>
  <r>
    <x v="61"/>
    <s v="ORD0199"/>
    <s v="SKU01"/>
    <x v="0"/>
    <x v="3"/>
    <n v="1"/>
    <x v="112"/>
    <n v="707"/>
    <n v="8"/>
    <x v="0"/>
    <s v="Dell"/>
    <n v="720"/>
    <s v="Healthy"/>
    <n v="490.99"/>
    <n v="490.99"/>
    <s v="Low"/>
  </r>
  <r>
    <x v="61"/>
    <s v="ORD0200"/>
    <s v="SKU03"/>
    <x v="8"/>
    <x v="3"/>
    <n v="2"/>
    <x v="129"/>
    <n v="1034"/>
    <n v="12"/>
    <x v="2"/>
    <s v="Apple"/>
    <n v="640"/>
    <s v="Healthy"/>
    <n v="368.99"/>
    <n v="737.98"/>
    <s v="High"/>
  </r>
  <r>
    <x v="61"/>
    <s v="ORD0201"/>
    <s v="SKU12"/>
    <x v="7"/>
    <x v="0"/>
    <n v="4"/>
    <x v="56"/>
    <n v="1374"/>
    <n v="14"/>
    <x v="4"/>
    <s v="Logitech"/>
    <n v="34"/>
    <s v="Healthy"/>
    <n v="55"/>
    <n v="220"/>
    <s v="Low"/>
  </r>
  <r>
    <x v="62"/>
    <s v="ORD0202"/>
    <s v="SKU10"/>
    <x v="2"/>
    <x v="0"/>
    <n v="3"/>
    <x v="130"/>
    <n v="2350"/>
    <n v="18"/>
    <x v="1"/>
    <s v="Logitech"/>
    <n v="15"/>
    <s v="Healthy"/>
    <n v="24"/>
    <n v="72"/>
    <s v="Low"/>
  </r>
  <r>
    <x v="62"/>
    <s v="ORD0203"/>
    <s v="SKU07"/>
    <x v="10"/>
    <x v="1"/>
    <n v="5"/>
    <x v="131"/>
    <n v="772"/>
    <n v="10"/>
    <x v="3"/>
    <s v="Samsung"/>
    <n v="220"/>
    <s v="Healthy"/>
    <n v="224.51000000000005"/>
    <n v="1122.5500000000002"/>
    <s v="High"/>
  </r>
  <r>
    <x v="62"/>
    <s v="ORD0204"/>
    <s v="SKU12"/>
    <x v="7"/>
    <x v="1"/>
    <n v="3"/>
    <x v="115"/>
    <n v="1374"/>
    <n v="14"/>
    <x v="4"/>
    <s v="Logitech"/>
    <n v="34"/>
    <s v="Healthy"/>
    <n v="54.11"/>
    <n v="162.32999999999998"/>
    <s v="Low"/>
  </r>
  <r>
    <x v="62"/>
    <s v="ORD0205"/>
    <s v="SKU09"/>
    <x v="6"/>
    <x v="3"/>
    <n v="6"/>
    <x v="116"/>
    <n v="2442"/>
    <n v="18"/>
    <x v="1"/>
    <s v="Logitech"/>
    <n v="22"/>
    <s v="Healthy"/>
    <n v="37.590000000000003"/>
    <n v="225.54000000000002"/>
    <s v="Low"/>
  </r>
  <r>
    <x v="63"/>
    <s v="ORD0206"/>
    <s v="SKU03"/>
    <x v="8"/>
    <x v="3"/>
    <n v="1"/>
    <x v="132"/>
    <n v="1034"/>
    <n v="12"/>
    <x v="2"/>
    <s v="Apple"/>
    <n v="640"/>
    <s v="Healthy"/>
    <n v="368.99"/>
    <n v="368.99"/>
    <s v="Low"/>
  </r>
  <r>
    <x v="63"/>
    <s v="ORD0207"/>
    <s v="SKU03"/>
    <x v="8"/>
    <x v="0"/>
    <n v="1"/>
    <x v="78"/>
    <n v="1034"/>
    <n v="12"/>
    <x v="2"/>
    <s v="Apple"/>
    <n v="640"/>
    <s v="Healthy"/>
    <n v="359"/>
    <n v="359"/>
    <s v="Low"/>
  </r>
  <r>
    <x v="63"/>
    <s v="ORD0208"/>
    <s v="SKU07"/>
    <x v="10"/>
    <x v="3"/>
    <n v="2"/>
    <x v="133"/>
    <n v="772"/>
    <n v="10"/>
    <x v="3"/>
    <s v="Samsung"/>
    <n v="220"/>
    <s v="Healthy"/>
    <n v="233.49"/>
    <n v="466.98"/>
    <s v="Low"/>
  </r>
  <r>
    <x v="64"/>
    <s v="ORD0209"/>
    <s v="SKU10"/>
    <x v="2"/>
    <x v="3"/>
    <n v="2"/>
    <x v="5"/>
    <n v="2350"/>
    <n v="18"/>
    <x v="1"/>
    <s v="Logitech"/>
    <n v="15"/>
    <s v="Healthy"/>
    <n v="24.39"/>
    <n v="48.78"/>
    <s v="Low"/>
  </r>
  <r>
    <x v="64"/>
    <s v="ORD0210"/>
    <s v="SKU09"/>
    <x v="6"/>
    <x v="2"/>
    <n v="4"/>
    <x v="19"/>
    <n v="2442"/>
    <n v="18"/>
    <x v="1"/>
    <s v="Logitech"/>
    <n v="22"/>
    <s v="Healthy"/>
    <n v="35.82"/>
    <n v="143.28"/>
    <s v="Low"/>
  </r>
  <r>
    <x v="64"/>
    <s v="ORD0211"/>
    <s v="SKU09"/>
    <x v="6"/>
    <x v="3"/>
    <n v="6"/>
    <x v="116"/>
    <n v="2442"/>
    <n v="18"/>
    <x v="1"/>
    <s v="Logitech"/>
    <n v="22"/>
    <s v="Healthy"/>
    <n v="37.590000000000003"/>
    <n v="225.54000000000002"/>
    <s v="Low"/>
  </r>
  <r>
    <x v="65"/>
    <s v="ORD0212"/>
    <s v="SKU08"/>
    <x v="5"/>
    <x v="3"/>
    <n v="6"/>
    <x v="134"/>
    <n v="2550"/>
    <n v="18"/>
    <x v="1"/>
    <s v="Sony"/>
    <n v="58"/>
    <s v="Healthy"/>
    <n v="72.289999999999992"/>
    <n v="433.74"/>
    <s v="Low"/>
  </r>
  <r>
    <x v="65"/>
    <s v="ORD0213"/>
    <s v="SKU10"/>
    <x v="2"/>
    <x v="0"/>
    <n v="1"/>
    <x v="135"/>
    <n v="2350"/>
    <n v="18"/>
    <x v="1"/>
    <s v="Logitech"/>
    <n v="15"/>
    <s v="Healthy"/>
    <n v="24"/>
    <n v="24"/>
    <s v="Low"/>
  </r>
  <r>
    <x v="66"/>
    <s v="ORD0214"/>
    <s v="SKU10"/>
    <x v="2"/>
    <x v="3"/>
    <n v="2"/>
    <x v="5"/>
    <n v="2350"/>
    <n v="18"/>
    <x v="1"/>
    <s v="Logitech"/>
    <n v="15"/>
    <s v="Healthy"/>
    <n v="24.39"/>
    <n v="48.78"/>
    <s v="Low"/>
  </r>
  <r>
    <x v="66"/>
    <s v="ORD0215"/>
    <s v="SKU02"/>
    <x v="1"/>
    <x v="3"/>
    <n v="3"/>
    <x v="136"/>
    <n v="771"/>
    <n v="8"/>
    <x v="0"/>
    <s v="HP"/>
    <n v="860"/>
    <s v="Healthy"/>
    <n v="552.99"/>
    <n v="1658.9700000000003"/>
    <s v="High"/>
  </r>
  <r>
    <x v="67"/>
    <s v="ORD0216"/>
    <s v="SKU08"/>
    <x v="5"/>
    <x v="1"/>
    <n v="1"/>
    <x v="73"/>
    <n v="2550"/>
    <n v="18"/>
    <x v="1"/>
    <s v="Sony"/>
    <n v="58"/>
    <s v="Healthy"/>
    <n v="69.709999999999994"/>
    <n v="69.709999999999994"/>
    <s v="Low"/>
  </r>
  <r>
    <x v="67"/>
    <s v="ORD0217"/>
    <s v="SKU01"/>
    <x v="0"/>
    <x v="1"/>
    <n v="2"/>
    <x v="137"/>
    <n v="707"/>
    <n v="8"/>
    <x v="0"/>
    <s v="Dell"/>
    <n v="720"/>
    <s v="Healthy"/>
    <n v="467.01"/>
    <n v="934.02"/>
    <s v="High"/>
  </r>
  <r>
    <x v="67"/>
    <s v="ORD0218"/>
    <s v="SKU04"/>
    <x v="3"/>
    <x v="0"/>
    <n v="8"/>
    <x v="138"/>
    <n v="1008"/>
    <n v="12"/>
    <x v="2"/>
    <s v="Samsung"/>
    <n v="280"/>
    <s v="Healthy"/>
    <n v="269"/>
    <n v="2152"/>
    <s v="High"/>
  </r>
  <r>
    <x v="67"/>
    <s v="ORD0219"/>
    <s v="SKU10"/>
    <x v="2"/>
    <x v="3"/>
    <n v="8"/>
    <x v="139"/>
    <n v="2350"/>
    <n v="18"/>
    <x v="1"/>
    <s v="Logitech"/>
    <n v="15"/>
    <s v="Healthy"/>
    <n v="24.39"/>
    <n v="195.12"/>
    <s v="Low"/>
  </r>
  <r>
    <x v="68"/>
    <s v="ORD0220"/>
    <s v="SKU09"/>
    <x v="6"/>
    <x v="0"/>
    <n v="1"/>
    <x v="123"/>
    <n v="2442"/>
    <n v="18"/>
    <x v="1"/>
    <s v="Logitech"/>
    <n v="22"/>
    <s v="Healthy"/>
    <n v="37"/>
    <n v="37"/>
    <s v="Low"/>
  </r>
  <r>
    <x v="68"/>
    <s v="ORD0221"/>
    <s v="SKU10"/>
    <x v="2"/>
    <x v="1"/>
    <n v="3"/>
    <x v="140"/>
    <n v="2350"/>
    <n v="18"/>
    <x v="1"/>
    <s v="Logitech"/>
    <n v="15"/>
    <s v="Healthy"/>
    <n v="23.61"/>
    <n v="70.83"/>
    <s v="Low"/>
  </r>
  <r>
    <x v="68"/>
    <s v="ORD0222"/>
    <s v="SKU12"/>
    <x v="7"/>
    <x v="0"/>
    <n v="3"/>
    <x v="141"/>
    <n v="1374"/>
    <n v="14"/>
    <x v="4"/>
    <s v="Logitech"/>
    <n v="34"/>
    <s v="Healthy"/>
    <n v="55"/>
    <n v="165"/>
    <s v="Low"/>
  </r>
  <r>
    <x v="68"/>
    <s v="ORD0223"/>
    <s v="SKU09"/>
    <x v="6"/>
    <x v="1"/>
    <n v="1"/>
    <x v="10"/>
    <n v="2442"/>
    <n v="18"/>
    <x v="1"/>
    <s v="Logitech"/>
    <n v="22"/>
    <s v="Healthy"/>
    <n v="36.409999999999997"/>
    <n v="36.409999999999997"/>
    <s v="Low"/>
  </r>
  <r>
    <x v="69"/>
    <s v="ORD0224"/>
    <s v="SKU05"/>
    <x v="9"/>
    <x v="3"/>
    <n v="5"/>
    <x v="142"/>
    <n v="578"/>
    <n v="7"/>
    <x v="5"/>
    <s v="Apple"/>
    <n v="360"/>
    <s v="Healthy"/>
    <n v="345.99"/>
    <n v="1729.9499999999998"/>
    <s v="High"/>
  </r>
  <r>
    <x v="69"/>
    <s v="ORD0225"/>
    <s v="SKU05"/>
    <x v="9"/>
    <x v="3"/>
    <n v="2"/>
    <x v="22"/>
    <n v="578"/>
    <n v="7"/>
    <x v="5"/>
    <s v="Apple"/>
    <n v="360"/>
    <s v="Healthy"/>
    <n v="345.99"/>
    <n v="691.98"/>
    <s v="Low"/>
  </r>
  <r>
    <x v="69"/>
    <s v="ORD0226"/>
    <s v="SKU12"/>
    <x v="7"/>
    <x v="2"/>
    <n v="3"/>
    <x v="143"/>
    <n v="1374"/>
    <n v="14"/>
    <x v="4"/>
    <s v="Logitech"/>
    <n v="34"/>
    <s v="Healthy"/>
    <n v="53.220000000000013"/>
    <n v="159.66000000000003"/>
    <s v="Low"/>
  </r>
  <r>
    <x v="70"/>
    <s v="ORD0227"/>
    <s v="SKU05"/>
    <x v="9"/>
    <x v="1"/>
    <n v="8"/>
    <x v="144"/>
    <n v="578"/>
    <n v="7"/>
    <x v="5"/>
    <s v="Apple"/>
    <n v="360"/>
    <s v="Healthy"/>
    <n v="332.01"/>
    <n v="2656.08"/>
    <s v="High"/>
  </r>
  <r>
    <x v="70"/>
    <s v="ORD0228"/>
    <s v="SKU06"/>
    <x v="4"/>
    <x v="1"/>
    <n v="10"/>
    <x v="145"/>
    <n v="802"/>
    <n v="10"/>
    <x v="3"/>
    <s v="LG"/>
    <n v="155"/>
    <s v="Healthy"/>
    <n v="170.70999999999998"/>
    <n v="1707.1"/>
    <s v="High"/>
  </r>
  <r>
    <x v="70"/>
    <s v="ORD0229"/>
    <s v="SKU09"/>
    <x v="6"/>
    <x v="1"/>
    <n v="2"/>
    <x v="63"/>
    <n v="2442"/>
    <n v="18"/>
    <x v="1"/>
    <s v="Logitech"/>
    <n v="22"/>
    <s v="Healthy"/>
    <n v="36.409999999999997"/>
    <n v="72.819999999999993"/>
    <s v="Low"/>
  </r>
  <r>
    <x v="70"/>
    <s v="ORD0230"/>
    <s v="SKU03"/>
    <x v="8"/>
    <x v="1"/>
    <n v="4"/>
    <x v="113"/>
    <n v="1034"/>
    <n v="12"/>
    <x v="2"/>
    <s v="Apple"/>
    <n v="640"/>
    <s v="Healthy"/>
    <n v="349.01"/>
    <n v="1396.04"/>
    <s v="High"/>
  </r>
  <r>
    <x v="71"/>
    <s v="ORD0231"/>
    <s v="SKU10"/>
    <x v="2"/>
    <x v="0"/>
    <n v="3"/>
    <x v="130"/>
    <n v="2350"/>
    <n v="18"/>
    <x v="1"/>
    <s v="Logitech"/>
    <n v="15"/>
    <s v="Healthy"/>
    <n v="24"/>
    <n v="72"/>
    <s v="Low"/>
  </r>
  <r>
    <x v="71"/>
    <s v="ORD0232"/>
    <s v="SKU12"/>
    <x v="7"/>
    <x v="1"/>
    <n v="3"/>
    <x v="115"/>
    <n v="1374"/>
    <n v="14"/>
    <x v="4"/>
    <s v="Logitech"/>
    <n v="34"/>
    <s v="Healthy"/>
    <n v="54.11"/>
    <n v="162.32999999999998"/>
    <s v="Low"/>
  </r>
  <r>
    <x v="71"/>
    <s v="ORD0233"/>
    <s v="SKU02"/>
    <x v="1"/>
    <x v="2"/>
    <n v="3"/>
    <x v="3"/>
    <n v="771"/>
    <n v="8"/>
    <x v="0"/>
    <s v="HP"/>
    <n v="860"/>
    <s v="Healthy"/>
    <n v="511.02000000000021"/>
    <n v="1533.0600000000004"/>
    <s v="High"/>
  </r>
  <r>
    <x v="71"/>
    <s v="ORD0234"/>
    <s v="SKU04"/>
    <x v="3"/>
    <x v="0"/>
    <n v="3"/>
    <x v="44"/>
    <n v="1008"/>
    <n v="12"/>
    <x v="2"/>
    <s v="Samsung"/>
    <n v="280"/>
    <s v="Healthy"/>
    <n v="269"/>
    <n v="807"/>
    <s v="Low"/>
  </r>
  <r>
    <x v="72"/>
    <s v="ORD0235"/>
    <s v="SKU02"/>
    <x v="1"/>
    <x v="2"/>
    <n v="6"/>
    <x v="146"/>
    <n v="771"/>
    <n v="8"/>
    <x v="0"/>
    <s v="HP"/>
    <n v="860"/>
    <s v="Healthy"/>
    <n v="511.02000000000021"/>
    <n v="3066.1200000000008"/>
    <s v="High"/>
  </r>
  <r>
    <x v="72"/>
    <s v="ORD0236"/>
    <s v="SKU07"/>
    <x v="10"/>
    <x v="0"/>
    <n v="5"/>
    <x v="147"/>
    <n v="772"/>
    <n v="10"/>
    <x v="3"/>
    <s v="Samsung"/>
    <n v="220"/>
    <s v="Healthy"/>
    <n v="229"/>
    <n v="1145"/>
    <s v="High"/>
  </r>
  <r>
    <x v="72"/>
    <s v="ORD0237"/>
    <s v="SKU08"/>
    <x v="5"/>
    <x v="3"/>
    <n v="2"/>
    <x v="99"/>
    <n v="2550"/>
    <n v="18"/>
    <x v="1"/>
    <s v="Sony"/>
    <n v="58"/>
    <s v="Healthy"/>
    <n v="72.289999999999992"/>
    <n v="144.57999999999998"/>
    <s v="Low"/>
  </r>
  <r>
    <x v="73"/>
    <s v="ORD0238"/>
    <s v="SKU10"/>
    <x v="2"/>
    <x v="2"/>
    <n v="1"/>
    <x v="114"/>
    <n v="2350"/>
    <n v="18"/>
    <x v="1"/>
    <s v="Logitech"/>
    <n v="15"/>
    <s v="Healthy"/>
    <n v="23.22"/>
    <n v="23.22"/>
    <s v="Low"/>
  </r>
  <r>
    <x v="73"/>
    <s v="ORD0239"/>
    <s v="SKU08"/>
    <x v="5"/>
    <x v="1"/>
    <n v="6"/>
    <x v="148"/>
    <n v="2550"/>
    <n v="18"/>
    <x v="1"/>
    <s v="Sony"/>
    <n v="58"/>
    <s v="Healthy"/>
    <n v="69.709999999999994"/>
    <n v="418.26"/>
    <s v="Low"/>
  </r>
  <r>
    <x v="74"/>
    <s v="ORD0240"/>
    <s v="SKU11"/>
    <x v="11"/>
    <x v="2"/>
    <n v="1"/>
    <x v="72"/>
    <n v="1432"/>
    <n v="14"/>
    <x v="4"/>
    <s v="Anker"/>
    <n v="48"/>
    <s v="Healthy"/>
    <n v="68.62"/>
    <n v="68.62"/>
    <s v="Low"/>
  </r>
  <r>
    <x v="74"/>
    <s v="ORD0241"/>
    <s v="SKU10"/>
    <x v="2"/>
    <x v="1"/>
    <n v="6"/>
    <x v="149"/>
    <n v="2350"/>
    <n v="18"/>
    <x v="1"/>
    <s v="Logitech"/>
    <n v="15"/>
    <s v="Healthy"/>
    <n v="23.61"/>
    <n v="141.66"/>
    <s v="Low"/>
  </r>
  <r>
    <x v="74"/>
    <s v="ORD0242"/>
    <s v="SKU08"/>
    <x v="5"/>
    <x v="2"/>
    <n v="2"/>
    <x v="150"/>
    <n v="2550"/>
    <n v="18"/>
    <x v="1"/>
    <s v="Sony"/>
    <n v="58"/>
    <s v="Healthy"/>
    <n v="68.42"/>
    <n v="136.84"/>
    <s v="Low"/>
  </r>
  <r>
    <x v="74"/>
    <s v="ORD0243"/>
    <s v="SKU04"/>
    <x v="3"/>
    <x v="3"/>
    <n v="10"/>
    <x v="151"/>
    <n v="1008"/>
    <n v="12"/>
    <x v="2"/>
    <s v="Samsung"/>
    <n v="280"/>
    <s v="Healthy"/>
    <n v="274.49"/>
    <n v="2744.8999999999996"/>
    <s v="High"/>
  </r>
  <r>
    <x v="75"/>
    <s v="ORD0244"/>
    <s v="SKU03"/>
    <x v="8"/>
    <x v="1"/>
    <n v="2"/>
    <x v="152"/>
    <n v="1034"/>
    <n v="12"/>
    <x v="2"/>
    <s v="Apple"/>
    <n v="640"/>
    <s v="Healthy"/>
    <n v="349.01"/>
    <n v="698.02"/>
    <s v="Low"/>
  </r>
  <r>
    <x v="75"/>
    <s v="ORD0245"/>
    <s v="SKU08"/>
    <x v="5"/>
    <x v="1"/>
    <n v="2"/>
    <x v="153"/>
    <n v="2550"/>
    <n v="18"/>
    <x v="1"/>
    <s v="Sony"/>
    <n v="58"/>
    <s v="Healthy"/>
    <n v="69.709999999999994"/>
    <n v="139.41999999999999"/>
    <s v="Low"/>
  </r>
  <r>
    <x v="75"/>
    <s v="ORD0246"/>
    <s v="SKU05"/>
    <x v="9"/>
    <x v="0"/>
    <n v="3"/>
    <x v="154"/>
    <n v="578"/>
    <n v="7"/>
    <x v="5"/>
    <s v="Apple"/>
    <n v="360"/>
    <s v="Healthy"/>
    <n v="339"/>
    <n v="1017"/>
    <s v="High"/>
  </r>
  <r>
    <x v="75"/>
    <s v="ORD0247"/>
    <s v="SKU08"/>
    <x v="5"/>
    <x v="0"/>
    <n v="4"/>
    <x v="155"/>
    <n v="2550"/>
    <n v="18"/>
    <x v="1"/>
    <s v="Sony"/>
    <n v="58"/>
    <s v="Healthy"/>
    <n v="71"/>
    <n v="284"/>
    <s v="Low"/>
  </r>
  <r>
    <x v="76"/>
    <s v="ORD0248"/>
    <s v="SKU10"/>
    <x v="2"/>
    <x v="3"/>
    <n v="4"/>
    <x v="156"/>
    <n v="2350"/>
    <n v="18"/>
    <x v="1"/>
    <s v="Logitech"/>
    <n v="15"/>
    <s v="Healthy"/>
    <n v="24.39"/>
    <n v="97.56"/>
    <s v="Low"/>
  </r>
  <r>
    <x v="76"/>
    <s v="ORD0249"/>
    <s v="SKU06"/>
    <x v="4"/>
    <x v="3"/>
    <n v="5"/>
    <x v="157"/>
    <n v="802"/>
    <n v="10"/>
    <x v="3"/>
    <s v="LG"/>
    <n v="155"/>
    <s v="Healthy"/>
    <n v="177.29000000000002"/>
    <n v="886.45"/>
    <s v="Low"/>
  </r>
  <r>
    <x v="76"/>
    <s v="ORD0250"/>
    <s v="SKU12"/>
    <x v="7"/>
    <x v="1"/>
    <n v="1"/>
    <x v="12"/>
    <n v="1374"/>
    <n v="14"/>
    <x v="4"/>
    <s v="Logitech"/>
    <n v="34"/>
    <s v="Healthy"/>
    <n v="54.11"/>
    <n v="54.11"/>
    <s v="Low"/>
  </r>
  <r>
    <x v="77"/>
    <s v="ORD0251"/>
    <s v="SKU08"/>
    <x v="5"/>
    <x v="2"/>
    <n v="5"/>
    <x v="158"/>
    <n v="2550"/>
    <n v="18"/>
    <x v="1"/>
    <s v="Sony"/>
    <n v="58"/>
    <s v="Healthy"/>
    <n v="68.42"/>
    <n v="342.1"/>
    <s v="Low"/>
  </r>
  <r>
    <x v="77"/>
    <s v="ORD0252"/>
    <s v="SKU07"/>
    <x v="10"/>
    <x v="1"/>
    <n v="2"/>
    <x v="125"/>
    <n v="772"/>
    <n v="10"/>
    <x v="3"/>
    <s v="Samsung"/>
    <n v="220"/>
    <s v="Healthy"/>
    <n v="224.51"/>
    <n v="449.02"/>
    <s v="Low"/>
  </r>
  <r>
    <x v="77"/>
    <s v="ORD0253"/>
    <s v="SKU10"/>
    <x v="2"/>
    <x v="1"/>
    <n v="3"/>
    <x v="140"/>
    <n v="2350"/>
    <n v="18"/>
    <x v="1"/>
    <s v="Logitech"/>
    <n v="15"/>
    <s v="Healthy"/>
    <n v="23.61"/>
    <n v="70.83"/>
    <s v="Low"/>
  </r>
  <r>
    <x v="77"/>
    <s v="ORD0254"/>
    <s v="SKU03"/>
    <x v="8"/>
    <x v="1"/>
    <n v="8"/>
    <x v="159"/>
    <n v="1034"/>
    <n v="12"/>
    <x v="2"/>
    <s v="Apple"/>
    <n v="640"/>
    <s v="Healthy"/>
    <n v="349.01"/>
    <n v="2792.08"/>
    <s v="High"/>
  </r>
  <r>
    <x v="78"/>
    <s v="ORD0255"/>
    <s v="SKU09"/>
    <x v="6"/>
    <x v="3"/>
    <n v="5"/>
    <x v="160"/>
    <n v="2442"/>
    <n v="18"/>
    <x v="1"/>
    <s v="Logitech"/>
    <n v="22"/>
    <s v="Healthy"/>
    <n v="37.589999999999996"/>
    <n v="187.95"/>
    <s v="Low"/>
  </r>
  <r>
    <x v="78"/>
    <s v="ORD0256"/>
    <s v="SKU11"/>
    <x v="11"/>
    <x v="2"/>
    <n v="2"/>
    <x v="110"/>
    <n v="1432"/>
    <n v="14"/>
    <x v="4"/>
    <s v="Anker"/>
    <n v="48"/>
    <s v="Healthy"/>
    <n v="68.62"/>
    <n v="137.24"/>
    <s v="Low"/>
  </r>
  <r>
    <x v="78"/>
    <s v="ORD0257"/>
    <s v="SKU05"/>
    <x v="9"/>
    <x v="3"/>
    <n v="4"/>
    <x v="161"/>
    <n v="578"/>
    <n v="7"/>
    <x v="5"/>
    <s v="Apple"/>
    <n v="360"/>
    <s v="Healthy"/>
    <n v="345.99"/>
    <n v="1383.96"/>
    <s v="High"/>
  </r>
  <r>
    <x v="79"/>
    <s v="ORD0258"/>
    <s v="SKU01"/>
    <x v="0"/>
    <x v="0"/>
    <n v="3"/>
    <x v="162"/>
    <n v="707"/>
    <n v="8"/>
    <x v="0"/>
    <s v="Dell"/>
    <n v="720"/>
    <s v="Healthy"/>
    <n v="479"/>
    <n v="1437"/>
    <s v="High"/>
  </r>
  <r>
    <x v="79"/>
    <s v="ORD0259"/>
    <s v="SKU12"/>
    <x v="7"/>
    <x v="2"/>
    <n v="4"/>
    <x v="163"/>
    <n v="1374"/>
    <n v="14"/>
    <x v="4"/>
    <s v="Logitech"/>
    <n v="34"/>
    <s v="Healthy"/>
    <n v="53.22"/>
    <n v="212.88"/>
    <s v="Low"/>
  </r>
  <r>
    <x v="79"/>
    <s v="ORD0260"/>
    <s v="SKU07"/>
    <x v="10"/>
    <x v="0"/>
    <n v="3"/>
    <x v="164"/>
    <n v="772"/>
    <n v="10"/>
    <x v="3"/>
    <s v="Samsung"/>
    <n v="220"/>
    <s v="Healthy"/>
    <n v="229"/>
    <n v="687"/>
    <s v="Low"/>
  </r>
  <r>
    <x v="80"/>
    <s v="ORD0261"/>
    <s v="SKU07"/>
    <x v="10"/>
    <x v="3"/>
    <n v="6"/>
    <x v="165"/>
    <n v="772"/>
    <n v="10"/>
    <x v="3"/>
    <s v="Samsung"/>
    <n v="220"/>
    <s v="Healthy"/>
    <n v="233.49"/>
    <n v="1400.94"/>
    <s v="High"/>
  </r>
  <r>
    <x v="80"/>
    <s v="ORD0262"/>
    <s v="SKU01"/>
    <x v="0"/>
    <x v="2"/>
    <n v="2"/>
    <x v="166"/>
    <n v="707"/>
    <n v="8"/>
    <x v="0"/>
    <s v="Dell"/>
    <n v="720"/>
    <s v="Healthy"/>
    <n v="455.02"/>
    <n v="910.04"/>
    <s v="High"/>
  </r>
  <r>
    <x v="80"/>
    <s v="ORD0263"/>
    <s v="SKU06"/>
    <x v="4"/>
    <x v="0"/>
    <n v="3"/>
    <x v="93"/>
    <n v="802"/>
    <n v="10"/>
    <x v="3"/>
    <s v="LG"/>
    <n v="155"/>
    <s v="Healthy"/>
    <n v="174"/>
    <n v="522"/>
    <s v="Low"/>
  </r>
  <r>
    <x v="81"/>
    <s v="ORD0264"/>
    <s v="SKU10"/>
    <x v="2"/>
    <x v="0"/>
    <n v="1"/>
    <x v="135"/>
    <n v="2350"/>
    <n v="18"/>
    <x v="1"/>
    <s v="Logitech"/>
    <n v="15"/>
    <s v="Healthy"/>
    <n v="24"/>
    <n v="24"/>
    <s v="Low"/>
  </r>
  <r>
    <x v="81"/>
    <s v="ORD0265"/>
    <s v="SKU11"/>
    <x v="11"/>
    <x v="3"/>
    <n v="1"/>
    <x v="167"/>
    <n v="1432"/>
    <n v="14"/>
    <x v="4"/>
    <s v="Anker"/>
    <n v="48"/>
    <s v="Healthy"/>
    <n v="72.19"/>
    <n v="72.19"/>
    <s v="Low"/>
  </r>
  <r>
    <x v="81"/>
    <s v="ORD0266"/>
    <s v="SKU12"/>
    <x v="7"/>
    <x v="0"/>
    <n v="2"/>
    <x v="37"/>
    <n v="1374"/>
    <n v="14"/>
    <x v="4"/>
    <s v="Logitech"/>
    <n v="34"/>
    <s v="Healthy"/>
    <n v="55"/>
    <n v="110"/>
    <s v="Low"/>
  </r>
  <r>
    <x v="81"/>
    <s v="ORD0267"/>
    <s v="SKU04"/>
    <x v="3"/>
    <x v="0"/>
    <n v="1"/>
    <x v="85"/>
    <n v="1008"/>
    <n v="12"/>
    <x v="2"/>
    <s v="Samsung"/>
    <n v="280"/>
    <s v="Healthy"/>
    <n v="269"/>
    <n v="269"/>
    <s v="Low"/>
  </r>
  <r>
    <x v="82"/>
    <s v="ORD0268"/>
    <s v="SKU11"/>
    <x v="11"/>
    <x v="3"/>
    <n v="1"/>
    <x v="167"/>
    <n v="1432"/>
    <n v="14"/>
    <x v="4"/>
    <s v="Anker"/>
    <n v="48"/>
    <s v="Healthy"/>
    <n v="72.19"/>
    <n v="72.19"/>
    <s v="Low"/>
  </r>
  <r>
    <x v="82"/>
    <s v="ORD0269"/>
    <s v="SKU07"/>
    <x v="10"/>
    <x v="1"/>
    <n v="3"/>
    <x v="168"/>
    <n v="772"/>
    <n v="10"/>
    <x v="3"/>
    <s v="Samsung"/>
    <n v="220"/>
    <s v="Healthy"/>
    <n v="224.51"/>
    <n v="673.53"/>
    <s v="Low"/>
  </r>
  <r>
    <x v="82"/>
    <s v="ORD0270"/>
    <s v="SKU09"/>
    <x v="6"/>
    <x v="1"/>
    <n v="1"/>
    <x v="10"/>
    <n v="2442"/>
    <n v="18"/>
    <x v="1"/>
    <s v="Logitech"/>
    <n v="22"/>
    <s v="Healthy"/>
    <n v="36.409999999999997"/>
    <n v="36.409999999999997"/>
    <s v="Low"/>
  </r>
  <r>
    <x v="82"/>
    <s v="ORD0271"/>
    <s v="SKU11"/>
    <x v="11"/>
    <x v="0"/>
    <n v="2"/>
    <x v="31"/>
    <n v="1432"/>
    <n v="14"/>
    <x v="4"/>
    <s v="Anker"/>
    <n v="48"/>
    <s v="Healthy"/>
    <n v="71"/>
    <n v="142"/>
    <s v="Low"/>
  </r>
  <r>
    <x v="83"/>
    <s v="ORD0272"/>
    <s v="SKU04"/>
    <x v="3"/>
    <x v="3"/>
    <n v="3"/>
    <x v="32"/>
    <n v="1008"/>
    <n v="12"/>
    <x v="2"/>
    <s v="Samsung"/>
    <n v="280"/>
    <s v="Healthy"/>
    <n v="274.49"/>
    <n v="823.47"/>
    <s v="Low"/>
  </r>
  <r>
    <x v="83"/>
    <s v="ORD0273"/>
    <s v="SKU12"/>
    <x v="7"/>
    <x v="1"/>
    <n v="8"/>
    <x v="28"/>
    <n v="1374"/>
    <n v="14"/>
    <x v="4"/>
    <s v="Logitech"/>
    <n v="34"/>
    <s v="Healthy"/>
    <n v="54.11"/>
    <n v="432.88"/>
    <s v="Low"/>
  </r>
  <r>
    <x v="83"/>
    <s v="ORD0274"/>
    <s v="SKU09"/>
    <x v="6"/>
    <x v="0"/>
    <n v="3"/>
    <x v="102"/>
    <n v="2442"/>
    <n v="18"/>
    <x v="1"/>
    <s v="Logitech"/>
    <n v="22"/>
    <s v="Healthy"/>
    <n v="37"/>
    <n v="111"/>
    <s v="Low"/>
  </r>
  <r>
    <x v="83"/>
    <s v="ORD0275"/>
    <s v="SKU09"/>
    <x v="6"/>
    <x v="3"/>
    <n v="1"/>
    <x v="16"/>
    <n v="2442"/>
    <n v="18"/>
    <x v="1"/>
    <s v="Logitech"/>
    <n v="22"/>
    <s v="Healthy"/>
    <n v="37.590000000000003"/>
    <n v="37.590000000000003"/>
    <s v="Low"/>
  </r>
  <r>
    <x v="84"/>
    <s v="ORD0276"/>
    <s v="SKU08"/>
    <x v="5"/>
    <x v="2"/>
    <n v="2"/>
    <x v="150"/>
    <n v="2550"/>
    <n v="18"/>
    <x v="1"/>
    <s v="Sony"/>
    <n v="58"/>
    <s v="Healthy"/>
    <n v="68.42"/>
    <n v="136.84"/>
    <s v="Low"/>
  </r>
  <r>
    <x v="84"/>
    <s v="ORD0277"/>
    <s v="SKU10"/>
    <x v="2"/>
    <x v="3"/>
    <n v="2"/>
    <x v="5"/>
    <n v="2350"/>
    <n v="18"/>
    <x v="1"/>
    <s v="Logitech"/>
    <n v="15"/>
    <s v="Healthy"/>
    <n v="24.39"/>
    <n v="48.78"/>
    <s v="Low"/>
  </r>
  <r>
    <x v="84"/>
    <s v="ORD0278"/>
    <s v="SKU09"/>
    <x v="6"/>
    <x v="3"/>
    <n v="3"/>
    <x v="169"/>
    <n v="2442"/>
    <n v="18"/>
    <x v="1"/>
    <s v="Logitech"/>
    <n v="22"/>
    <s v="Healthy"/>
    <n v="37.590000000000003"/>
    <n v="112.77000000000001"/>
    <s v="Low"/>
  </r>
  <r>
    <x v="84"/>
    <s v="ORD0279"/>
    <s v="SKU10"/>
    <x v="2"/>
    <x v="3"/>
    <n v="5"/>
    <x v="4"/>
    <n v="2350"/>
    <n v="18"/>
    <x v="1"/>
    <s v="Logitech"/>
    <n v="15"/>
    <s v="Healthy"/>
    <n v="24.39"/>
    <n v="121.94999999999999"/>
    <s v="Low"/>
  </r>
  <r>
    <x v="85"/>
    <s v="ORD0280"/>
    <s v="SKU11"/>
    <x v="11"/>
    <x v="3"/>
    <n v="2"/>
    <x v="98"/>
    <n v="1432"/>
    <n v="14"/>
    <x v="4"/>
    <s v="Anker"/>
    <n v="48"/>
    <s v="Healthy"/>
    <n v="72.19"/>
    <n v="144.38"/>
    <s v="Low"/>
  </r>
  <r>
    <x v="85"/>
    <s v="ORD0281"/>
    <s v="SKU07"/>
    <x v="10"/>
    <x v="3"/>
    <n v="4"/>
    <x v="170"/>
    <n v="772"/>
    <n v="10"/>
    <x v="3"/>
    <s v="Samsung"/>
    <n v="220"/>
    <s v="Healthy"/>
    <n v="233.49"/>
    <n v="933.96"/>
    <s v="Low"/>
  </r>
  <r>
    <x v="85"/>
    <s v="ORD0282"/>
    <s v="SKU02"/>
    <x v="1"/>
    <x v="1"/>
    <n v="4"/>
    <x v="89"/>
    <n v="771"/>
    <n v="8"/>
    <x v="0"/>
    <s v="HP"/>
    <n v="860"/>
    <s v="Healthy"/>
    <n v="525.01"/>
    <n v="2100.04"/>
    <s v="High"/>
  </r>
  <r>
    <x v="85"/>
    <s v="ORD0283"/>
    <s v="SKU03"/>
    <x v="8"/>
    <x v="0"/>
    <n v="3"/>
    <x v="126"/>
    <n v="1034"/>
    <n v="12"/>
    <x v="2"/>
    <s v="Apple"/>
    <n v="640"/>
    <s v="Healthy"/>
    <n v="359"/>
    <n v="1077"/>
    <s v="High"/>
  </r>
  <r>
    <x v="86"/>
    <s v="ORD0284"/>
    <s v="SKU08"/>
    <x v="5"/>
    <x v="2"/>
    <n v="5"/>
    <x v="158"/>
    <n v="2550"/>
    <n v="18"/>
    <x v="1"/>
    <s v="Sony"/>
    <n v="58"/>
    <s v="Healthy"/>
    <n v="68.42"/>
    <n v="342.1"/>
    <s v="Low"/>
  </r>
  <r>
    <x v="86"/>
    <s v="ORD0285"/>
    <s v="SKU04"/>
    <x v="3"/>
    <x v="2"/>
    <n v="2"/>
    <x v="171"/>
    <n v="1008"/>
    <n v="12"/>
    <x v="2"/>
    <s v="Samsung"/>
    <n v="280"/>
    <s v="Healthy"/>
    <n v="258.02"/>
    <n v="516.04"/>
    <s v="Low"/>
  </r>
  <r>
    <x v="86"/>
    <s v="ORD0286"/>
    <s v="SKU10"/>
    <x v="2"/>
    <x v="3"/>
    <n v="2"/>
    <x v="5"/>
    <n v="2350"/>
    <n v="18"/>
    <x v="1"/>
    <s v="Logitech"/>
    <n v="15"/>
    <s v="Healthy"/>
    <n v="24.39"/>
    <n v="48.78"/>
    <s v="Low"/>
  </r>
  <r>
    <x v="87"/>
    <s v="ORD0287"/>
    <s v="SKU12"/>
    <x v="7"/>
    <x v="0"/>
    <n v="8"/>
    <x v="88"/>
    <n v="1374"/>
    <n v="14"/>
    <x v="4"/>
    <s v="Logitech"/>
    <n v="34"/>
    <s v="Healthy"/>
    <n v="55"/>
    <n v="440"/>
    <s v="Low"/>
  </r>
  <r>
    <x v="87"/>
    <s v="ORD0288"/>
    <s v="SKU11"/>
    <x v="11"/>
    <x v="3"/>
    <n v="8"/>
    <x v="172"/>
    <n v="1432"/>
    <n v="14"/>
    <x v="4"/>
    <s v="Anker"/>
    <n v="48"/>
    <s v="Healthy"/>
    <n v="72.19"/>
    <n v="577.52"/>
    <s v="Low"/>
  </r>
  <r>
    <x v="88"/>
    <s v="ORD0289"/>
    <s v="SKU10"/>
    <x v="2"/>
    <x v="1"/>
    <n v="4"/>
    <x v="33"/>
    <n v="2350"/>
    <n v="18"/>
    <x v="1"/>
    <s v="Logitech"/>
    <n v="15"/>
    <s v="Healthy"/>
    <n v="23.61"/>
    <n v="94.44"/>
    <s v="Low"/>
  </r>
  <r>
    <x v="88"/>
    <s v="ORD0290"/>
    <s v="SKU01"/>
    <x v="0"/>
    <x v="1"/>
    <n v="2"/>
    <x v="137"/>
    <n v="707"/>
    <n v="8"/>
    <x v="0"/>
    <s v="Dell"/>
    <n v="720"/>
    <s v="Healthy"/>
    <n v="467.01"/>
    <n v="934.02"/>
    <s v="High"/>
  </r>
  <r>
    <x v="88"/>
    <s v="ORD0291"/>
    <s v="SKU09"/>
    <x v="6"/>
    <x v="3"/>
    <n v="3"/>
    <x v="169"/>
    <n v="2442"/>
    <n v="18"/>
    <x v="1"/>
    <s v="Logitech"/>
    <n v="22"/>
    <s v="Healthy"/>
    <n v="37.590000000000003"/>
    <n v="112.77000000000001"/>
    <s v="Low"/>
  </r>
  <r>
    <x v="88"/>
    <s v="ORD0292"/>
    <s v="SKU10"/>
    <x v="2"/>
    <x v="2"/>
    <n v="1"/>
    <x v="114"/>
    <n v="2350"/>
    <n v="18"/>
    <x v="1"/>
    <s v="Logitech"/>
    <n v="15"/>
    <s v="Healthy"/>
    <n v="23.22"/>
    <n v="23.22"/>
    <s v="Low"/>
  </r>
  <r>
    <x v="89"/>
    <s v="ORD0293"/>
    <s v="SKU01"/>
    <x v="0"/>
    <x v="2"/>
    <n v="3"/>
    <x v="91"/>
    <n v="707"/>
    <n v="8"/>
    <x v="0"/>
    <s v="Dell"/>
    <n v="720"/>
    <s v="Healthy"/>
    <n v="455.02"/>
    <n v="1365.06"/>
    <s v="High"/>
  </r>
  <r>
    <x v="89"/>
    <s v="ORD0294"/>
    <s v="SKU12"/>
    <x v="7"/>
    <x v="0"/>
    <n v="1"/>
    <x v="60"/>
    <n v="1374"/>
    <n v="14"/>
    <x v="4"/>
    <s v="Logitech"/>
    <n v="34"/>
    <s v="Healthy"/>
    <n v="55"/>
    <n v="55"/>
    <s v="Low"/>
  </r>
  <r>
    <x v="89"/>
    <s v="ORD0295"/>
    <s v="SKU10"/>
    <x v="2"/>
    <x v="2"/>
    <n v="2"/>
    <x v="173"/>
    <n v="2350"/>
    <n v="18"/>
    <x v="1"/>
    <s v="Logitech"/>
    <n v="15"/>
    <s v="Healthy"/>
    <n v="23.22"/>
    <n v="46.44"/>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87E2D5-D49A-453A-AE82-C70AD9B2F34A}" name="PivotTable1" cacheId="2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18">
    <pivotField numFmtId="22" showAll="0">
      <items count="91">
        <item x="0"/>
        <item x="3"/>
        <item x="2"/>
        <item x="4"/>
        <item x="1"/>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 showAll="0"/>
    <pivotField showAll="0"/>
    <pivotField axis="axisRow" showAll="0">
      <items count="5">
        <item x="0"/>
        <item x="3"/>
        <item x="2"/>
        <item x="1"/>
        <item t="default"/>
      </items>
    </pivotField>
    <pivotField showAll="0"/>
    <pivotField dataField="1" showAll="0">
      <items count="175">
        <item x="114"/>
        <item x="135"/>
        <item x="68"/>
        <item x="10"/>
        <item x="123"/>
        <item x="16"/>
        <item x="173"/>
        <item x="17"/>
        <item x="5"/>
        <item x="12"/>
        <item x="60"/>
        <item x="118"/>
        <item x="140"/>
        <item x="72"/>
        <item x="63"/>
        <item x="130"/>
        <item x="25"/>
        <item x="71"/>
        <item x="92"/>
        <item x="50"/>
        <item x="167"/>
        <item x="9"/>
        <item x="73"/>
        <item x="42"/>
        <item x="40"/>
        <item x="82"/>
        <item x="33"/>
        <item x="156"/>
        <item x="11"/>
        <item x="119"/>
        <item x="62"/>
        <item x="102"/>
        <item x="37"/>
        <item x="169"/>
        <item x="77"/>
        <item x="122"/>
        <item x="4"/>
        <item x="54"/>
        <item x="19"/>
        <item x="149"/>
        <item x="110"/>
        <item x="67"/>
        <item x="31"/>
        <item x="98"/>
        <item x="150"/>
        <item x="153"/>
        <item x="34"/>
        <item x="99"/>
        <item x="143"/>
        <item x="115"/>
        <item x="141"/>
        <item x="18"/>
        <item x="160"/>
        <item x="6"/>
        <item x="139"/>
        <item x="96"/>
        <item x="15"/>
        <item x="90"/>
        <item x="163"/>
        <item x="79"/>
        <item x="56"/>
        <item x="116"/>
        <item x="75"/>
        <item x="24"/>
        <item x="80"/>
        <item x="101"/>
        <item x="52"/>
        <item x="51"/>
        <item x="23"/>
        <item x="120"/>
        <item x="105"/>
        <item x="107"/>
        <item x="121"/>
        <item x="155"/>
        <item x="83"/>
        <item x="7"/>
        <item x="85"/>
        <item x="46"/>
        <item x="87"/>
        <item x="66"/>
        <item x="158"/>
        <item x="59"/>
        <item x="108"/>
        <item x="27"/>
        <item x="28"/>
        <item x="43"/>
        <item x="88"/>
        <item x="106"/>
        <item x="148"/>
        <item x="134"/>
        <item x="125"/>
        <item x="100"/>
        <item x="133"/>
        <item x="172"/>
        <item x="97"/>
        <item x="93"/>
        <item x="55"/>
        <item x="78"/>
        <item x="132"/>
        <item x="171"/>
        <item x="95"/>
        <item x="14"/>
        <item x="20"/>
        <item x="0"/>
        <item x="112"/>
        <item x="53"/>
        <item x="168"/>
        <item x="164"/>
        <item x="49"/>
        <item x="61"/>
        <item x="2"/>
        <item x="13"/>
        <item x="22"/>
        <item x="58"/>
        <item x="8"/>
        <item x="65"/>
        <item x="44"/>
        <item x="157"/>
        <item x="32"/>
        <item x="48"/>
        <item x="84"/>
        <item x="170"/>
        <item x="128"/>
        <item x="152"/>
        <item x="127"/>
        <item x="129"/>
        <item x="41"/>
        <item x="154"/>
        <item x="70"/>
        <item x="131"/>
        <item x="147"/>
        <item x="166"/>
        <item x="137"/>
        <item x="1"/>
        <item x="81"/>
        <item x="104"/>
        <item x="45"/>
        <item x="165"/>
        <item x="30"/>
        <item x="161"/>
        <item x="124"/>
        <item x="47"/>
        <item x="39"/>
        <item x="126"/>
        <item x="117"/>
        <item x="145"/>
        <item x="94"/>
        <item x="36"/>
        <item x="91"/>
        <item x="142"/>
        <item x="57"/>
        <item x="111"/>
        <item x="162"/>
        <item x="29"/>
        <item x="113"/>
        <item x="3"/>
        <item x="69"/>
        <item x="136"/>
        <item x="138"/>
        <item x="38"/>
        <item x="109"/>
        <item x="103"/>
        <item x="21"/>
        <item x="76"/>
        <item x="86"/>
        <item x="144"/>
        <item x="89"/>
        <item x="151"/>
        <item x="26"/>
        <item x="35"/>
        <item x="74"/>
        <item x="159"/>
        <item x="146"/>
        <item x="64"/>
        <item t="default"/>
      </items>
    </pivotField>
    <pivotField showAll="0"/>
    <pivotField showAll="0"/>
    <pivotField showAll="0">
      <items count="7">
        <item x="1"/>
        <item x="0"/>
        <item x="3"/>
        <item x="2"/>
        <item x="4"/>
        <item x="5"/>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Revenue" fld="6" baseField="0" baseItem="0"/>
  </dataFields>
  <formats count="1">
    <format dxfId="34">
      <pivotArea collapsedLevelsAreSubtotals="1" fieldPosition="0">
        <references count="1">
          <reference field="4" count="0"/>
        </references>
      </pivotArea>
    </format>
  </format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E16B79-C8CF-4EFA-BF70-05CCE5B089E0}" name="PivotTable2" cacheId="2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8">
    <pivotField numFmtId="22" showAll="0">
      <items count="91">
        <item x="0"/>
        <item x="3"/>
        <item x="2"/>
        <item x="4"/>
        <item x="1"/>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 showAll="0"/>
    <pivotField showAll="0"/>
    <pivotField showAll="0">
      <items count="5">
        <item x="0"/>
        <item x="3"/>
        <item x="2"/>
        <item x="1"/>
        <item t="default"/>
      </items>
    </pivotField>
    <pivotField showAll="0"/>
    <pivotField dataField="1" showAll="0"/>
    <pivotField showAll="0"/>
    <pivotField showAll="0"/>
    <pivotField showAll="0">
      <items count="7">
        <item x="1"/>
        <item x="0"/>
        <item x="3"/>
        <item x="2"/>
        <item x="4"/>
        <item x="5"/>
        <item t="default"/>
      </items>
    </pivotField>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Items count="1">
    <i/>
  </colItems>
  <dataFields count="1">
    <dataField name="Sum of Revenue" fld="6" baseField="0" baseItem="0"/>
  </dataFields>
  <formats count="1">
    <format dxfId="33">
      <pivotArea collapsedLevelsAreSubtotals="1" fieldPosition="0">
        <references count="1">
          <reference field="17" count="3">
            <x v="1"/>
            <x v="2"/>
            <x v="3"/>
          </reference>
        </references>
      </pivotArea>
    </format>
  </formats>
  <chartFormats count="6">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7" count="1" selected="0">
            <x v="2"/>
          </reference>
        </references>
      </pivotArea>
    </chartFormat>
    <chartFormat chart="5" format="4">
      <pivotArea type="data" outline="0" fieldPosition="0">
        <references count="2">
          <reference field="4294967294" count="1" selected="0">
            <x v="0"/>
          </reference>
          <reference field="17" count="1" selected="0">
            <x v="3"/>
          </reference>
        </references>
      </pivotArea>
    </chartFormat>
    <chartFormat chart="5" format="5">
      <pivotArea type="data" outline="0" fieldPosition="0">
        <references count="2">
          <reference field="4294967294" count="1" selected="0">
            <x v="0"/>
          </reference>
          <reference field="17" count="1" selected="0">
            <x v="1"/>
          </reference>
        </references>
      </pivotArea>
    </chartFormat>
    <chartFormat chart="0" format="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9CB3EF-5271-44AF-A71C-5D6D90A6F7FB}" name="PivotTable1" cacheId="2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9" firstHeaderRow="0" firstDataRow="1" firstDataCol="1"/>
  <pivotFields count="18">
    <pivotField numFmtId="22" showAll="0">
      <items count="91">
        <item x="0"/>
        <item x="3"/>
        <item x="2"/>
        <item x="4"/>
        <item x="1"/>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 showAll="0"/>
    <pivotField axis="axisRow" showAll="0" measureFilter="1" sortType="descending">
      <items count="13">
        <item x="11"/>
        <item x="5"/>
        <item x="6"/>
        <item x="0"/>
        <item x="1"/>
        <item x="4"/>
        <item x="10"/>
        <item x="2"/>
        <item x="3"/>
        <item x="8"/>
        <item x="9"/>
        <item x="7"/>
        <item t="default"/>
      </items>
      <autoSortScope>
        <pivotArea dataOnly="0" outline="0" fieldPosition="0">
          <references count="1">
            <reference field="4294967294" count="1" selected="0">
              <x v="0"/>
            </reference>
          </references>
        </pivotArea>
      </autoSortScope>
    </pivotField>
    <pivotField showAll="0">
      <items count="5">
        <item x="0"/>
        <item x="3"/>
        <item x="2"/>
        <item x="1"/>
        <item t="default"/>
      </items>
    </pivotField>
    <pivotField dataField="1" showAll="0"/>
    <pivotField dataField="1" showAll="0"/>
    <pivotField showAll="0"/>
    <pivotField showAll="0"/>
    <pivotField showAll="0">
      <items count="7">
        <item x="1"/>
        <item x="0"/>
        <item x="3"/>
        <item x="2"/>
        <item x="4"/>
        <item x="5"/>
        <item t="default"/>
      </items>
    </pivotField>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v="3"/>
    </i>
    <i>
      <x v="9"/>
    </i>
    <i>
      <x v="4"/>
    </i>
    <i>
      <x v="8"/>
    </i>
    <i>
      <x v="10"/>
    </i>
    <i t="grand">
      <x/>
    </i>
  </rowItems>
  <colFields count="1">
    <field x="-2"/>
  </colFields>
  <colItems count="2">
    <i>
      <x/>
    </i>
    <i i="1">
      <x v="1"/>
    </i>
  </colItems>
  <dataFields count="2">
    <dataField name="Sum of Revenue" fld="6" baseField="0" baseItem="0"/>
    <dataField name="Sum of Quantity" fld="5"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4C7FC7-04A8-47FC-8915-8E15920ED329}" name="PivotTable2" cacheId="2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18">
    <pivotField numFmtId="22" showAll="0">
      <items count="91">
        <item x="0"/>
        <item x="3"/>
        <item x="2"/>
        <item x="4"/>
        <item x="1"/>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 showAll="0"/>
    <pivotField showAll="0"/>
    <pivotField showAll="0">
      <items count="5">
        <item x="0"/>
        <item x="3"/>
        <item x="2"/>
        <item x="1"/>
        <item t="default"/>
      </items>
    </pivotField>
    <pivotField showAll="0"/>
    <pivotField dataField="1" showAll="0"/>
    <pivotField showAll="0"/>
    <pivotField showAll="0"/>
    <pivotField axis="axisRow" showAll="0" sortType="ascending">
      <items count="7">
        <item x="1"/>
        <item x="0"/>
        <item x="3"/>
        <item x="2"/>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7">
    <i>
      <x v="4"/>
    </i>
    <i>
      <x/>
    </i>
    <i>
      <x v="5"/>
    </i>
    <i>
      <x v="2"/>
    </i>
    <i>
      <x v="3"/>
    </i>
    <i>
      <x v="1"/>
    </i>
    <i t="grand">
      <x/>
    </i>
  </rowItems>
  <colItems count="1">
    <i/>
  </colItems>
  <dataFields count="1">
    <dataField name="Sum of Revenue" fld="6" baseField="0" baseItem="0"/>
  </dataFields>
  <formats count="1">
    <format dxfId="32">
      <pivotArea collapsedLevelsAreSubtotals="1" fieldPosition="0">
        <references count="1">
          <reference field="9" count="0"/>
        </references>
      </pivotArea>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8190CC43-BA6D-4574-8FC5-EBF855E66131}" autoFormatId="16" applyNumberFormats="0" applyBorderFormats="0" applyFontFormats="0" applyPatternFormats="0" applyAlignmentFormats="0" applyWidthHeightFormats="0">
  <queryTableRefresh nextId="5">
    <queryTableFields count="4">
      <queryTableField id="1" name="SKU" tableColumnId="1"/>
      <queryTableField id="2" name="Category" tableColumnId="2"/>
      <queryTableField id="3" name="Supplier" tableColumnId="3"/>
      <queryTableField id="4" name="Cost"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9FCC6E4D-2ABF-4BF2-AD31-11891AC1B987}" autoFormatId="16" applyNumberFormats="0" applyBorderFormats="0" applyFontFormats="0" applyPatternFormats="0" applyAlignmentFormats="0" applyWidthHeightFormats="0">
  <queryTableRefresh nextId="4">
    <queryTableFields count="3">
      <queryTableField id="1" name="SKU" tableColumnId="1"/>
      <queryTableField id="2" name="Stock_On_Hand" tableColumnId="2"/>
      <queryTableField id="3" name="Reorder_Level"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D643DD2F-838C-4206-B808-0BA302B50083}" autoFormatId="16" applyNumberFormats="0" applyBorderFormats="0" applyFontFormats="0" applyPatternFormats="0" applyAlignmentFormats="0" applyWidthHeightFormats="0">
  <queryTableRefresh nextId="17">
    <queryTableFields count="16">
      <queryTableField id="1" name="Date" tableColumnId="1"/>
      <queryTableField id="2" name="Order_ID" tableColumnId="2"/>
      <queryTableField id="3" name="SKU" tableColumnId="3"/>
      <queryTableField id="4" name="Product" tableColumnId="4"/>
      <queryTableField id="5" name="Region" tableColumnId="5"/>
      <queryTableField id="6" name="Quantity" tableColumnId="6"/>
      <queryTableField id="7" name="Revenue" tableColumnId="7"/>
      <queryTableField id="8" name="Stock_On_Hand" tableColumnId="8"/>
      <queryTableField id="9" name="Reorder_Level" tableColumnId="9"/>
      <queryTableField id="10" name="Category" tableColumnId="10"/>
      <queryTableField id="11" name="Supplier" tableColumnId="11"/>
      <queryTableField id="12" name="Cost" tableColumnId="12"/>
      <queryTableField id="13" name="Stock Risk" tableColumnId="13"/>
      <queryTableField id="14" name="Profit per Order" tableColumnId="14"/>
      <queryTableField id="15" name="Total Profit" tableColumnId="15"/>
      <queryTableField id="16" name="Revenue Category"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enue" xr10:uid="{DE326DA7-E657-4D90-8192-3B6320FECDE7}" sourceName="Revenue">
  <pivotTables>
    <pivotTable tabId="8" name="PivotTable1"/>
  </pivotTables>
  <data>
    <tabular pivotCacheId="238048668">
      <items count="174">
        <i x="114" s="1"/>
        <i x="135" s="1"/>
        <i x="68" s="1"/>
        <i x="10" s="1"/>
        <i x="123" s="1"/>
        <i x="16" s="1"/>
        <i x="173" s="1"/>
        <i x="17" s="1"/>
        <i x="5" s="1"/>
        <i x="12" s="1"/>
        <i x="60" s="1"/>
        <i x="118" s="1"/>
        <i x="140" s="1"/>
        <i x="72" s="1"/>
        <i x="63" s="1"/>
        <i x="130" s="1"/>
        <i x="25" s="1"/>
        <i x="71" s="1"/>
        <i x="92" s="1"/>
        <i x="50" s="1"/>
        <i x="167" s="1"/>
        <i x="9" s="1"/>
        <i x="73" s="1"/>
        <i x="42" s="1"/>
        <i x="40" s="1"/>
        <i x="82" s="1"/>
        <i x="33" s="1"/>
        <i x="156" s="1"/>
        <i x="11" s="1"/>
        <i x="119" s="1"/>
        <i x="62" s="1"/>
        <i x="102" s="1"/>
        <i x="37" s="1"/>
        <i x="169" s="1"/>
        <i x="77" s="1"/>
        <i x="122" s="1"/>
        <i x="4" s="1"/>
        <i x="54" s="1"/>
        <i x="19" s="1"/>
        <i x="149" s="1"/>
        <i x="110" s="1"/>
        <i x="67" s="1"/>
        <i x="31" s="1"/>
        <i x="98" s="1"/>
        <i x="150" s="1"/>
        <i x="153" s="1"/>
        <i x="34" s="1"/>
        <i x="99" s="1"/>
        <i x="143" s="1"/>
        <i x="115" s="1"/>
        <i x="141" s="1"/>
        <i x="18" s="1"/>
        <i x="160" s="1"/>
        <i x="6" s="1"/>
        <i x="139" s="1"/>
        <i x="96" s="1"/>
        <i x="15" s="1"/>
        <i x="90" s="1"/>
        <i x="163" s="1"/>
        <i x="79" s="1"/>
        <i x="56" s="1"/>
        <i x="116" s="1"/>
        <i x="75" s="1"/>
        <i x="24" s="1"/>
        <i x="80" s="1"/>
        <i x="101" s="1"/>
        <i x="52" s="1"/>
        <i x="51" s="1"/>
        <i x="23" s="1"/>
        <i x="120" s="1"/>
        <i x="105" s="1"/>
        <i x="107" s="1"/>
        <i x="121" s="1"/>
        <i x="155" s="1"/>
        <i x="83" s="1"/>
        <i x="7" s="1"/>
        <i x="85" s="1"/>
        <i x="46" s="1"/>
        <i x="87" s="1"/>
        <i x="66" s="1"/>
        <i x="158" s="1"/>
        <i x="59" s="1"/>
        <i x="108" s="1"/>
        <i x="27" s="1"/>
        <i x="28" s="1"/>
        <i x="43" s="1"/>
        <i x="88" s="1"/>
        <i x="106" s="1"/>
        <i x="148" s="1"/>
        <i x="134" s="1"/>
        <i x="125" s="1"/>
        <i x="100" s="1"/>
        <i x="133" s="1"/>
        <i x="172" s="1"/>
        <i x="97" s="1"/>
        <i x="93" s="1"/>
        <i x="55" s="1"/>
        <i x="78" s="1"/>
        <i x="132" s="1"/>
        <i x="171" s="1"/>
        <i x="95" s="1"/>
        <i x="14" s="1"/>
        <i x="20" s="1"/>
        <i x="0" s="1"/>
        <i x="112" s="1"/>
        <i x="53" s="1"/>
        <i x="168" s="1"/>
        <i x="164" s="1"/>
        <i x="49" s="1"/>
        <i x="61" s="1"/>
        <i x="2" s="1"/>
        <i x="13" s="1"/>
        <i x="22" s="1"/>
        <i x="58" s="1"/>
        <i x="8" s="1"/>
        <i x="65" s="1"/>
        <i x="44" s="1"/>
        <i x="157" s="1"/>
        <i x="32" s="1"/>
        <i x="48" s="1"/>
        <i x="84" s="1"/>
        <i x="170" s="1"/>
        <i x="128" s="1"/>
        <i x="152" s="1"/>
        <i x="127" s="1"/>
        <i x="129" s="1"/>
        <i x="41" s="1"/>
        <i x="154" s="1"/>
        <i x="70" s="1"/>
        <i x="131" s="1"/>
        <i x="147" s="1"/>
        <i x="166" s="1"/>
        <i x="137" s="1"/>
        <i x="1" s="1"/>
        <i x="81" s="1"/>
        <i x="104" s="1"/>
        <i x="45" s="1"/>
        <i x="165" s="1"/>
        <i x="30" s="1"/>
        <i x="161" s="1"/>
        <i x="124" s="1"/>
        <i x="47" s="1"/>
        <i x="39" s="1"/>
        <i x="126" s="1"/>
        <i x="117" s="1"/>
        <i x="145" s="1"/>
        <i x="94" s="1"/>
        <i x="36" s="1"/>
        <i x="91" s="1"/>
        <i x="142" s="1"/>
        <i x="57" s="1"/>
        <i x="111" s="1"/>
        <i x="162" s="1"/>
        <i x="29" s="1"/>
        <i x="113" s="1"/>
        <i x="3" s="1"/>
        <i x="69" s="1"/>
        <i x="136" s="1"/>
        <i x="138" s="1"/>
        <i x="38" s="1"/>
        <i x="109" s="1"/>
        <i x="103" s="1"/>
        <i x="21" s="1"/>
        <i x="76" s="1"/>
        <i x="86" s="1"/>
        <i x="144" s="1"/>
        <i x="89" s="1"/>
        <i x="151" s="1"/>
        <i x="26" s="1"/>
        <i x="35" s="1"/>
        <i x="74" s="1"/>
        <i x="159" s="1"/>
        <i x="146" s="1"/>
        <i x="6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2EDECC0E-424C-4388-9CC3-42ED60EBA9B1}" sourceName="Category">
  <pivotTables>
    <pivotTable tabId="17" name="PivotTable2"/>
    <pivotTable tabId="16" name="PivotTable1"/>
    <pivotTable tabId="8" name="PivotTable1"/>
    <pivotTable tabId="9" name="PivotTable2"/>
  </pivotTables>
  <data>
    <tabular pivotCacheId="238048668">
      <items count="6">
        <i x="1" s="1"/>
        <i x="0" s="1"/>
        <i x="3" s="1"/>
        <i x="2"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1" xr10:uid="{80E0C130-5F7B-4CE0-8469-F58346FF9645}" sourceName="Months (Date)">
  <pivotTables>
    <pivotTable tabId="17" name="PivotTable2"/>
    <pivotTable tabId="9" name="PivotTable2"/>
    <pivotTable tabId="8" name="PivotTable1"/>
    <pivotTable tabId="16" name="PivotTable1"/>
  </pivotTables>
  <data>
    <tabular pivotCacheId="238048668">
      <items count="14">
        <i x="1" s="1"/>
        <i x="2" s="1"/>
        <i x="3" s="1"/>
        <i x="4" s="1" nd="1"/>
        <i x="5" s="1" nd="1"/>
        <i x="6" s="1" nd="1"/>
        <i x="7" s="1" nd="1"/>
        <i x="8" s="1" nd="1"/>
        <i x="9" s="1" nd="1"/>
        <i x="10" s="1" nd="1"/>
        <i x="11" s="1" nd="1"/>
        <i x="12" s="1" nd="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E6830FB4-CE83-4F9F-91D4-00871F97A420}" sourceName="Region">
  <pivotTables>
    <pivotTable tabId="17" name="PivotTable2"/>
    <pivotTable tabId="16" name="PivotTable1"/>
    <pivotTable tabId="8" name="PivotTable1"/>
    <pivotTable tabId="9" name="PivotTable2"/>
  </pivotTables>
  <data>
    <tabular pivotCacheId="238048668">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venue" xr10:uid="{28EF2218-00FA-46F1-B877-9D76EFF939FF}" cache="Slicer_Revenue" caption="Revenue" rowHeight="241300"/>
  <slicer name="Region 2" xr10:uid="{E5FE57B9-37DA-47D1-BA41-586161E600D8}" cache="Slicer_Region2"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3" xr10:uid="{94EBB89D-88CB-4D86-9DEC-CADFF2C12AC0}" cache="Slicer_Category1" caption="Category" rowHeight="241300"/>
  <slicer name="Months (Date) 3" xr10:uid="{A7FF8B8F-F5DA-4459-A32D-7234BBE66F12}" cache="Slicer_Months__Date1" caption="Months (Date)" rowHeight="241300"/>
  <slicer name="Region 4" xr10:uid="{2E590205-224E-4DB9-A5FB-35A94C184AA1}" cache="Slicer_Region2" caption="Regi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53623F90-C570-4D39-8F1D-E90724B86CC8}" cache="Slicer_Category1" caption="Category" rowHeight="241300"/>
  <slicer name="Months (Date) 2" xr10:uid="{AAC61261-8941-4735-938E-E84858CBF474}" cache="Slicer_Months__Date1" caption="Months (Date)" rowHeight="241300"/>
  <slicer name="Region 3" xr10:uid="{5632C67E-EFAC-4B6D-B4F4-8A3216B16EC6}" cache="Slicer_Region2" caption="Reg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40E587E-15FA-49D6-810B-6461F4D66255}" name="tblReferenceData_1" displayName="tblReferenceData_1" ref="A1:D13" tableType="queryTable" totalsRowShown="0">
  <autoFilter ref="A1:D13" xr:uid="{540E587E-15FA-49D6-810B-6461F4D66255}"/>
  <tableColumns count="4">
    <tableColumn id="1" xr3:uid="{2DF79E06-5F05-4135-B7B2-6AD63C9D5BC4}" uniqueName="1" name="SKU" queryTableFieldId="1" dataDxfId="31"/>
    <tableColumn id="2" xr3:uid="{62FA383C-FE99-47B6-AE47-9120B795ABE3}" uniqueName="2" name="Category" queryTableFieldId="2" dataDxfId="30"/>
    <tableColumn id="3" xr3:uid="{2E772483-A31C-42BF-A129-612CDE9ECB9A}" uniqueName="3" name="Supplier" queryTableFieldId="3" dataDxfId="29"/>
    <tableColumn id="4" xr3:uid="{521B525D-412F-4BC7-9D0C-6343AE85282C}" uniqueName="4" name="Cost"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CF898EE-B746-4FD3-B8B6-5E6143958473}" name="tblRawInventory_1" displayName="tblRawInventory_1" ref="A1:C13" tableType="queryTable" totalsRowShown="0">
  <autoFilter ref="A1:C13" xr:uid="{2CF898EE-B746-4FD3-B8B6-5E6143958473}"/>
  <tableColumns count="3">
    <tableColumn id="1" xr3:uid="{B733AE71-3615-41D3-ACAD-216283566C38}" uniqueName="1" name="SKU" queryTableFieldId="1" dataDxfId="28"/>
    <tableColumn id="2" xr3:uid="{00490A45-2A9D-4EFC-BF41-8739D2D7C765}" uniqueName="2" name="Stock_On_Hand" queryTableFieldId="2"/>
    <tableColumn id="3" xr3:uid="{7FF47620-CB27-4D49-874F-E4EBA8E8387C}" uniqueName="3" name="Reorder_Level" queryTableField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53FC706-0C10-40E6-943C-C23A3C7697FB}" name="Clean_Data" displayName="Clean_Data" ref="A1:P296" tableType="queryTable" totalsRowShown="0">
  <autoFilter ref="A1:P296" xr:uid="{453FC706-0C10-40E6-943C-C23A3C7697FB}"/>
  <tableColumns count="16">
    <tableColumn id="1" xr3:uid="{99C89DEC-9E55-4D94-AB4E-173831B72732}" uniqueName="1" name="Date" queryTableFieldId="1" dataDxfId="21"/>
    <tableColumn id="2" xr3:uid="{A1003E8B-2B0E-41BC-B90E-BB1AAF11BBBD}" uniqueName="2" name="Order_ID" queryTableFieldId="2" dataDxfId="27"/>
    <tableColumn id="3" xr3:uid="{B7A6B937-8196-43FD-B3FA-752218F0DA02}" uniqueName="3" name="SKU" queryTableFieldId="3" dataDxfId="26"/>
    <tableColumn id="4" xr3:uid="{6F0512BA-C346-4D37-9C0F-5E266DAA5D39}" uniqueName="4" name="Product" queryTableFieldId="4" dataDxfId="25"/>
    <tableColumn id="5" xr3:uid="{4A5E219C-30C3-439B-8FFE-175A34A45814}" uniqueName="5" name="Region" queryTableFieldId="5" dataDxfId="24"/>
    <tableColumn id="6" xr3:uid="{A6BFA050-299C-4D5D-AC17-7CA9EF63B22E}" uniqueName="6" name="Quantity" queryTableFieldId="6"/>
    <tableColumn id="7" xr3:uid="{BFA4629C-0B37-40CE-82D5-4017F02640E7}" uniqueName="7" name="Revenue" queryTableFieldId="7"/>
    <tableColumn id="8" xr3:uid="{40EB760A-417A-48F1-B406-390C149BA407}" uniqueName="8" name="Stock_On_Hand" queryTableFieldId="8"/>
    <tableColumn id="9" xr3:uid="{378F2499-74E1-42F7-87FE-8A68BEDB43EA}" uniqueName="9" name="Reorder_Level" queryTableFieldId="9"/>
    <tableColumn id="10" xr3:uid="{515A7547-0ABC-49C5-A83F-15E92D785075}" uniqueName="10" name="Category" queryTableFieldId="10" dataDxfId="23"/>
    <tableColumn id="11" xr3:uid="{AA89F2E7-F113-4008-90F6-828CB1E97C28}" uniqueName="11" name="Supplier" queryTableFieldId="11" dataDxfId="22"/>
    <tableColumn id="12" xr3:uid="{D5F4DA55-B573-4AD3-A6BD-29AE8CDDA9EC}" uniqueName="12" name="Cost" queryTableFieldId="12"/>
    <tableColumn id="13" xr3:uid="{D7F471F3-68CD-4DAD-8FF9-C82AC7C1A2B8}" uniqueName="13" name="Stock Risk" queryTableFieldId="13"/>
    <tableColumn id="14" xr3:uid="{669BD3B0-B3F1-4364-9DDF-6A5BE1B8237B}" uniqueName="14" name="Profit per Order" queryTableFieldId="14"/>
    <tableColumn id="15" xr3:uid="{EEEBED98-165E-4BA2-AB18-FB744DE9F4B1}" uniqueName="15" name="Total Profit" queryTableFieldId="15"/>
    <tableColumn id="16" xr3:uid="{1238468A-A517-4988-A157-73D657592950}" uniqueName="16" name="Revenue Category" queryTableField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RawSales" displayName="tblRawSales" ref="A2:G297">
  <autoFilter ref="A2:G297" xr:uid="{00000000-0009-0000-0100-000001000000}"/>
  <tableColumns count="7">
    <tableColumn id="1" xr3:uid="{00000000-0010-0000-0000-000001000000}" name="Date"/>
    <tableColumn id="2" xr3:uid="{00000000-0010-0000-0000-000002000000}" name="Order_ID"/>
    <tableColumn id="3" xr3:uid="{00000000-0010-0000-0000-000003000000}" name="SKU"/>
    <tableColumn id="4" xr3:uid="{00000000-0010-0000-0000-000004000000}" name="Product"/>
    <tableColumn id="5" xr3:uid="{00000000-0010-0000-0000-000005000000}" name="Region"/>
    <tableColumn id="6" xr3:uid="{00000000-0010-0000-0000-000006000000}" name="Quantity"/>
    <tableColumn id="7" xr3:uid="{00000000-0010-0000-0000-000007000000}" name="Revenu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RawInventory" displayName="tblRawInventory" ref="A2:E470">
  <autoFilter ref="A2:E470" xr:uid="{00000000-0009-0000-0100-000002000000}"/>
  <tableColumns count="5">
    <tableColumn id="1" xr3:uid="{00000000-0010-0000-0100-000001000000}" name="Date"/>
    <tableColumn id="2" xr3:uid="{00000000-0010-0000-0100-000002000000}" name="SKU"/>
    <tableColumn id="3" xr3:uid="{00000000-0010-0000-0100-000003000000}" name="Warehouse"/>
    <tableColumn id="4" xr3:uid="{00000000-0010-0000-0100-000004000000}" name="Stock_On_Hand"/>
    <tableColumn id="5" xr3:uid="{00000000-0010-0000-0100-000005000000}" name="Reorder_Level"/>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ReferenceData" displayName="tblReferenceData" ref="A2:D14">
  <autoFilter ref="A2:D14" xr:uid="{00000000-0009-0000-0100-000003000000}"/>
  <tableColumns count="4">
    <tableColumn id="1" xr3:uid="{00000000-0010-0000-0200-000001000000}" name="SKU"/>
    <tableColumn id="2" xr3:uid="{00000000-0010-0000-0200-000002000000}" name="Category"/>
    <tableColumn id="3" xr3:uid="{00000000-0010-0000-0200-000003000000}" name="Supplier"/>
    <tableColumn id="4" xr3:uid="{00000000-0010-0000-0200-000004000000}" name="Cost"/>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
  <sheetViews>
    <sheetView showGridLines="0" workbookViewId="0">
      <selection activeCell="B15" sqref="B15"/>
    </sheetView>
  </sheetViews>
  <sheetFormatPr defaultRowHeight="14.5" x14ac:dyDescent="0.35"/>
  <cols>
    <col min="1" max="1" width="28" customWidth="1"/>
    <col min="2" max="2" width="98" customWidth="1"/>
    <col min="3" max="3" width="16" customWidth="1"/>
    <col min="4" max="4" width="24" customWidth="1"/>
    <col min="5" max="6" width="16" customWidth="1"/>
  </cols>
  <sheetData>
    <row r="1" spans="1:6" ht="24" customHeight="1" x14ac:dyDescent="0.45">
      <c r="A1" s="56" t="s">
        <v>0</v>
      </c>
      <c r="B1" s="55"/>
      <c r="C1" s="55"/>
      <c r="D1" s="55"/>
      <c r="E1" s="55"/>
      <c r="F1" s="55"/>
    </row>
    <row r="2" spans="1:6" ht="22" customHeight="1" x14ac:dyDescent="0.35">
      <c r="A2" s="54" t="s">
        <v>1</v>
      </c>
      <c r="B2" s="55"/>
      <c r="C2" s="55"/>
      <c r="D2" s="55"/>
      <c r="E2" s="55"/>
      <c r="F2" s="55"/>
    </row>
    <row r="3" spans="1:6" ht="24" customHeight="1" x14ac:dyDescent="0.35">
      <c r="A3" s="10" t="s">
        <v>2</v>
      </c>
      <c r="B3" s="1" t="s">
        <v>3</v>
      </c>
    </row>
    <row r="4" spans="1:6" ht="24" customHeight="1" x14ac:dyDescent="0.35">
      <c r="A4" s="10" t="s">
        <v>4</v>
      </c>
      <c r="B4" s="1" t="s">
        <v>5</v>
      </c>
    </row>
    <row r="5" spans="1:6" ht="24" customHeight="1" x14ac:dyDescent="0.35">
      <c r="A5" s="10" t="s">
        <v>6</v>
      </c>
      <c r="B5" s="1" t="s">
        <v>7</v>
      </c>
    </row>
    <row r="6" spans="1:6" ht="36" customHeight="1" x14ac:dyDescent="0.35">
      <c r="A6" s="10" t="s">
        <v>8</v>
      </c>
      <c r="B6" s="1" t="s">
        <v>9</v>
      </c>
    </row>
    <row r="7" spans="1:6" ht="24" customHeight="1" x14ac:dyDescent="0.35">
      <c r="A7" s="10" t="s">
        <v>10</v>
      </c>
      <c r="B7" s="1" t="s">
        <v>11</v>
      </c>
    </row>
    <row r="8" spans="1:6" ht="24" customHeight="1" x14ac:dyDescent="0.35">
      <c r="A8" s="10" t="s">
        <v>12</v>
      </c>
      <c r="B8" s="1" t="s">
        <v>13</v>
      </c>
    </row>
    <row r="11" spans="1:6" x14ac:dyDescent="0.35">
      <c r="A11" s="57" t="s">
        <v>14</v>
      </c>
      <c r="B11" s="55"/>
      <c r="C11" s="55"/>
      <c r="D11" s="11" t="s">
        <v>15</v>
      </c>
    </row>
    <row r="12" spans="1:6" x14ac:dyDescent="0.35">
      <c r="A12" s="2" t="s">
        <v>16</v>
      </c>
      <c r="B12" s="3">
        <v>295</v>
      </c>
      <c r="D12" s="12" t="s">
        <v>17</v>
      </c>
    </row>
    <row r="13" spans="1:6" x14ac:dyDescent="0.35">
      <c r="A13" s="2" t="s">
        <v>18</v>
      </c>
      <c r="B13" s="3">
        <v>504</v>
      </c>
      <c r="D13" s="12" t="s">
        <v>19</v>
      </c>
    </row>
    <row r="14" spans="1:6" x14ac:dyDescent="0.35">
      <c r="A14" s="2" t="s">
        <v>20</v>
      </c>
      <c r="B14" s="3">
        <v>12</v>
      </c>
      <c r="D14" s="12" t="s">
        <v>21</v>
      </c>
    </row>
    <row r="15" spans="1:6" x14ac:dyDescent="0.35">
      <c r="D15" s="12" t="s">
        <v>22</v>
      </c>
    </row>
  </sheetData>
  <mergeCells count="3">
    <mergeCell ref="A2:F2"/>
    <mergeCell ref="A1:F1"/>
    <mergeCell ref="A11:C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392CF-52B5-4672-9B8B-07A5B35233A0}">
  <dimension ref="A1:D13"/>
  <sheetViews>
    <sheetView workbookViewId="0">
      <selection activeCell="G15" sqref="G15"/>
    </sheetView>
  </sheetViews>
  <sheetFormatPr defaultRowHeight="14.5" x14ac:dyDescent="0.35"/>
  <cols>
    <col min="1" max="1" width="6.36328125" bestFit="1" customWidth="1"/>
    <col min="2" max="2" width="10.54296875" bestFit="1" customWidth="1"/>
    <col min="3" max="3" width="9.90625" bestFit="1" customWidth="1"/>
    <col min="4" max="4" width="6.81640625" bestFit="1" customWidth="1"/>
  </cols>
  <sheetData>
    <row r="1" spans="1:4" x14ac:dyDescent="0.35">
      <c r="A1" t="s">
        <v>26</v>
      </c>
      <c r="B1" t="s">
        <v>361</v>
      </c>
      <c r="C1" t="s">
        <v>362</v>
      </c>
      <c r="D1" t="s">
        <v>363</v>
      </c>
    </row>
    <row r="2" spans="1:4" x14ac:dyDescent="0.35">
      <c r="A2" t="s">
        <v>32</v>
      </c>
      <c r="B2" t="s">
        <v>364</v>
      </c>
      <c r="C2" t="s">
        <v>365</v>
      </c>
      <c r="D2">
        <v>720</v>
      </c>
    </row>
    <row r="3" spans="1:4" x14ac:dyDescent="0.35">
      <c r="A3" t="s">
        <v>40</v>
      </c>
      <c r="B3" t="s">
        <v>364</v>
      </c>
      <c r="C3" t="s">
        <v>366</v>
      </c>
      <c r="D3">
        <v>860</v>
      </c>
    </row>
    <row r="4" spans="1:4" x14ac:dyDescent="0.35">
      <c r="A4" t="s">
        <v>73</v>
      </c>
      <c r="B4" t="s">
        <v>367</v>
      </c>
      <c r="C4" t="s">
        <v>368</v>
      </c>
      <c r="D4">
        <v>640</v>
      </c>
    </row>
    <row r="5" spans="1:4" x14ac:dyDescent="0.35">
      <c r="A5" t="s">
        <v>44</v>
      </c>
      <c r="B5" t="s">
        <v>367</v>
      </c>
      <c r="C5" t="s">
        <v>369</v>
      </c>
      <c r="D5">
        <v>280</v>
      </c>
    </row>
    <row r="6" spans="1:4" x14ac:dyDescent="0.35">
      <c r="A6" t="s">
        <v>76</v>
      </c>
      <c r="B6" t="s">
        <v>370</v>
      </c>
      <c r="C6" t="s">
        <v>368</v>
      </c>
      <c r="D6">
        <v>360</v>
      </c>
    </row>
    <row r="7" spans="1:4" x14ac:dyDescent="0.35">
      <c r="A7" t="s">
        <v>60</v>
      </c>
      <c r="B7" t="s">
        <v>371</v>
      </c>
      <c r="C7" t="s">
        <v>372</v>
      </c>
      <c r="D7">
        <v>155</v>
      </c>
    </row>
    <row r="8" spans="1:4" x14ac:dyDescent="0.35">
      <c r="A8" t="s">
        <v>79</v>
      </c>
      <c r="B8" t="s">
        <v>371</v>
      </c>
      <c r="C8" t="s">
        <v>369</v>
      </c>
      <c r="D8">
        <v>220</v>
      </c>
    </row>
    <row r="9" spans="1:4" x14ac:dyDescent="0.35">
      <c r="A9" t="s">
        <v>50</v>
      </c>
      <c r="B9" t="s">
        <v>373</v>
      </c>
      <c r="C9" t="s">
        <v>374</v>
      </c>
      <c r="D9">
        <v>58</v>
      </c>
    </row>
    <row r="10" spans="1:4" x14ac:dyDescent="0.35">
      <c r="A10" t="s">
        <v>47</v>
      </c>
      <c r="B10" t="s">
        <v>373</v>
      </c>
      <c r="C10" t="s">
        <v>375</v>
      </c>
      <c r="D10">
        <v>22</v>
      </c>
    </row>
    <row r="11" spans="1:4" x14ac:dyDescent="0.35">
      <c r="A11" t="s">
        <v>36</v>
      </c>
      <c r="B11" t="s">
        <v>373</v>
      </c>
      <c r="C11" t="s">
        <v>375</v>
      </c>
      <c r="D11">
        <v>15</v>
      </c>
    </row>
    <row r="12" spans="1:4" x14ac:dyDescent="0.35">
      <c r="A12" t="s">
        <v>83</v>
      </c>
      <c r="B12" t="s">
        <v>376</v>
      </c>
      <c r="C12" t="s">
        <v>377</v>
      </c>
      <c r="D12">
        <v>48</v>
      </c>
    </row>
    <row r="13" spans="1:4" x14ac:dyDescent="0.35">
      <c r="A13" t="s">
        <v>55</v>
      </c>
      <c r="B13" t="s">
        <v>376</v>
      </c>
      <c r="C13" t="s">
        <v>375</v>
      </c>
      <c r="D13">
        <v>34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A32FF-C1A8-4B55-81BC-61E412751923}">
  <dimension ref="A1:C13"/>
  <sheetViews>
    <sheetView workbookViewId="0">
      <selection activeCell="F15" sqref="F15"/>
    </sheetView>
  </sheetViews>
  <sheetFormatPr defaultRowHeight="14.5" x14ac:dyDescent="0.35"/>
  <cols>
    <col min="1" max="1" width="6.36328125" bestFit="1" customWidth="1"/>
    <col min="2" max="2" width="16.6328125" bestFit="1" customWidth="1"/>
    <col min="3" max="3" width="15" bestFit="1" customWidth="1"/>
  </cols>
  <sheetData>
    <row r="1" spans="1:3" x14ac:dyDescent="0.35">
      <c r="A1" t="s">
        <v>26</v>
      </c>
      <c r="B1" t="s">
        <v>355</v>
      </c>
      <c r="C1" t="s">
        <v>356</v>
      </c>
    </row>
    <row r="2" spans="1:3" x14ac:dyDescent="0.35">
      <c r="A2" t="s">
        <v>32</v>
      </c>
      <c r="B2">
        <v>707</v>
      </c>
      <c r="C2">
        <v>8</v>
      </c>
    </row>
    <row r="3" spans="1:3" x14ac:dyDescent="0.35">
      <c r="A3" t="s">
        <v>40</v>
      </c>
      <c r="B3">
        <v>771</v>
      </c>
      <c r="C3">
        <v>8</v>
      </c>
    </row>
    <row r="4" spans="1:3" x14ac:dyDescent="0.35">
      <c r="A4" t="s">
        <v>73</v>
      </c>
      <c r="B4">
        <v>1034</v>
      </c>
      <c r="C4">
        <v>12</v>
      </c>
    </row>
    <row r="5" spans="1:3" x14ac:dyDescent="0.35">
      <c r="A5" t="s">
        <v>44</v>
      </c>
      <c r="B5">
        <v>1008</v>
      </c>
      <c r="C5">
        <v>12</v>
      </c>
    </row>
    <row r="6" spans="1:3" x14ac:dyDescent="0.35">
      <c r="A6" t="s">
        <v>76</v>
      </c>
      <c r="B6">
        <v>578</v>
      </c>
      <c r="C6">
        <v>7</v>
      </c>
    </row>
    <row r="7" spans="1:3" x14ac:dyDescent="0.35">
      <c r="A7" t="s">
        <v>60</v>
      </c>
      <c r="B7">
        <v>802</v>
      </c>
      <c r="C7">
        <v>10</v>
      </c>
    </row>
    <row r="8" spans="1:3" x14ac:dyDescent="0.35">
      <c r="A8" t="s">
        <v>79</v>
      </c>
      <c r="B8">
        <v>772</v>
      </c>
      <c r="C8">
        <v>10</v>
      </c>
    </row>
    <row r="9" spans="1:3" x14ac:dyDescent="0.35">
      <c r="A9" t="s">
        <v>50</v>
      </c>
      <c r="B9">
        <v>2550</v>
      </c>
      <c r="C9">
        <v>18</v>
      </c>
    </row>
    <row r="10" spans="1:3" x14ac:dyDescent="0.35">
      <c r="A10" t="s">
        <v>47</v>
      </c>
      <c r="B10">
        <v>2442</v>
      </c>
      <c r="C10">
        <v>18</v>
      </c>
    </row>
    <row r="11" spans="1:3" x14ac:dyDescent="0.35">
      <c r="A11" t="s">
        <v>36</v>
      </c>
      <c r="B11">
        <v>2350</v>
      </c>
      <c r="C11">
        <v>18</v>
      </c>
    </row>
    <row r="12" spans="1:3" x14ac:dyDescent="0.35">
      <c r="A12" t="s">
        <v>83</v>
      </c>
      <c r="B12">
        <v>1432</v>
      </c>
      <c r="C12">
        <v>14</v>
      </c>
    </row>
    <row r="13" spans="1:3" x14ac:dyDescent="0.35">
      <c r="A13" t="s">
        <v>55</v>
      </c>
      <c r="B13">
        <v>1374</v>
      </c>
      <c r="C13">
        <v>14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B55D8-EFBD-47F1-8FEC-F38E49FDABF1}">
  <dimension ref="A3:B8"/>
  <sheetViews>
    <sheetView workbookViewId="0">
      <selection activeCell="A6" sqref="A6"/>
    </sheetView>
  </sheetViews>
  <sheetFormatPr defaultRowHeight="14.5" x14ac:dyDescent="0.35"/>
  <cols>
    <col min="1" max="1" width="12.36328125" bestFit="1" customWidth="1"/>
    <col min="2" max="2" width="14.36328125" bestFit="1" customWidth="1"/>
  </cols>
  <sheetData>
    <row r="3" spans="1:2" x14ac:dyDescent="0.35">
      <c r="A3" s="15" t="s">
        <v>386</v>
      </c>
      <c r="B3" t="s">
        <v>388</v>
      </c>
    </row>
    <row r="4" spans="1:2" x14ac:dyDescent="0.35">
      <c r="A4" s="16" t="s">
        <v>34</v>
      </c>
      <c r="B4" s="20">
        <v>74436</v>
      </c>
    </row>
    <row r="5" spans="1:2" x14ac:dyDescent="0.35">
      <c r="A5" s="16" t="s">
        <v>38</v>
      </c>
      <c r="B5" s="20">
        <v>82820.000000000015</v>
      </c>
    </row>
    <row r="6" spans="1:2" x14ac:dyDescent="0.35">
      <c r="A6" s="16" t="s">
        <v>52</v>
      </c>
      <c r="B6" s="20">
        <v>99258.319999999992</v>
      </c>
    </row>
    <row r="7" spans="1:2" x14ac:dyDescent="0.35">
      <c r="A7" s="16" t="s">
        <v>42</v>
      </c>
      <c r="B7" s="20">
        <v>116584.38000000005</v>
      </c>
    </row>
    <row r="8" spans="1:2" x14ac:dyDescent="0.35">
      <c r="A8" s="16" t="s">
        <v>387</v>
      </c>
      <c r="B8" s="59">
        <v>373098.70000000007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36D2-F02D-4ADB-A1EF-897A4DCD1E91}">
  <dimension ref="A3:B7"/>
  <sheetViews>
    <sheetView workbookViewId="0">
      <selection activeCell="B4" sqref="B4"/>
    </sheetView>
  </sheetViews>
  <sheetFormatPr defaultRowHeight="14.5" x14ac:dyDescent="0.35"/>
  <cols>
    <col min="1" max="1" width="12.36328125" bestFit="1" customWidth="1"/>
    <col min="2" max="2" width="14.36328125" bestFit="1" customWidth="1"/>
  </cols>
  <sheetData>
    <row r="3" spans="1:2" x14ac:dyDescent="0.35">
      <c r="A3" s="15" t="s">
        <v>386</v>
      </c>
      <c r="B3" t="s">
        <v>388</v>
      </c>
    </row>
    <row r="4" spans="1:2" x14ac:dyDescent="0.35">
      <c r="A4" s="16" t="s">
        <v>389</v>
      </c>
      <c r="B4" s="20">
        <v>141782.72000000003</v>
      </c>
    </row>
    <row r="5" spans="1:2" x14ac:dyDescent="0.35">
      <c r="A5" s="16" t="s">
        <v>390</v>
      </c>
      <c r="B5" s="20">
        <v>101302.21999999999</v>
      </c>
    </row>
    <row r="6" spans="1:2" x14ac:dyDescent="0.35">
      <c r="A6" s="16" t="s">
        <v>391</v>
      </c>
      <c r="B6" s="20">
        <v>130013.76000000004</v>
      </c>
    </row>
    <row r="7" spans="1:2" x14ac:dyDescent="0.35">
      <c r="A7" s="16" t="s">
        <v>387</v>
      </c>
      <c r="B7" s="59">
        <v>373098.70000000007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76A24-1CC5-4AF4-8F3C-D97DC7543F04}">
  <dimension ref="B4:M48"/>
  <sheetViews>
    <sheetView showGridLines="0" tabSelected="1" zoomScaleNormal="100" workbookViewId="0">
      <selection activeCell="J9" sqref="J9"/>
    </sheetView>
  </sheetViews>
  <sheetFormatPr defaultRowHeight="14.5" x14ac:dyDescent="0.35"/>
  <cols>
    <col min="1" max="1" width="8.36328125" customWidth="1"/>
    <col min="2" max="2" width="23.26953125" customWidth="1"/>
    <col min="3" max="3" width="10.36328125" customWidth="1"/>
    <col min="4" max="4" width="20.7265625" bestFit="1" customWidth="1"/>
    <col min="5" max="5" width="13.6328125" customWidth="1"/>
    <col min="6" max="6" width="21.90625" customWidth="1"/>
    <col min="8" max="8" width="29.453125" customWidth="1"/>
    <col min="9" max="9" width="14.36328125" customWidth="1"/>
    <col min="10" max="10" width="20.6328125" customWidth="1"/>
    <col min="11" max="11" width="11" customWidth="1"/>
    <col min="12" max="12" width="15.7265625" customWidth="1"/>
    <col min="13" max="13" width="12.90625" customWidth="1"/>
  </cols>
  <sheetData>
    <row r="4" spans="2:8" ht="29" customHeight="1" x14ac:dyDescent="0.35">
      <c r="B4" s="42">
        <f>SUM(Clean_Data[Revenue])</f>
        <v>373098.70000000024</v>
      </c>
      <c r="D4" s="22">
        <f>SUM(Clean_Data[Quantity])</f>
        <v>888</v>
      </c>
      <c r="F4" s="43">
        <f>SUM(Clean_Data[Total Profit])</f>
        <v>163553.69999999995</v>
      </c>
      <c r="H4" s="22">
        <f>COUNTIF(Clean_Data[Stock Risk], "Reorder Needed")</f>
        <v>0</v>
      </c>
    </row>
    <row r="7" spans="2:8" ht="26" x14ac:dyDescent="0.6">
      <c r="B7" s="18"/>
      <c r="D7" s="17"/>
      <c r="F7" s="19"/>
    </row>
    <row r="20" spans="10:13" ht="21" x14ac:dyDescent="0.5">
      <c r="J20" s="24"/>
    </row>
    <row r="22" spans="10:13" x14ac:dyDescent="0.35">
      <c r="J22" s="25"/>
      <c r="K22" s="25"/>
      <c r="L22" s="25"/>
      <c r="M22" s="25"/>
    </row>
    <row r="34" spans="2:8" ht="21" x14ac:dyDescent="0.5">
      <c r="B34" s="48" t="s">
        <v>393</v>
      </c>
      <c r="C34" s="49"/>
      <c r="D34" s="49"/>
      <c r="E34" s="50"/>
      <c r="F34" s="51" t="s">
        <v>395</v>
      </c>
      <c r="G34" s="52"/>
      <c r="H34" s="53"/>
    </row>
    <row r="35" spans="2:8" x14ac:dyDescent="0.35">
      <c r="B35" s="26"/>
      <c r="C35" s="23"/>
      <c r="D35" s="23"/>
      <c r="E35" s="27"/>
      <c r="F35" s="26"/>
      <c r="H35" s="30"/>
    </row>
    <row r="36" spans="2:8" ht="14.5" customHeight="1" x14ac:dyDescent="0.35">
      <c r="B36" s="38" t="s">
        <v>26</v>
      </c>
      <c r="C36" s="39" t="s">
        <v>394</v>
      </c>
      <c r="D36" s="39" t="s">
        <v>355</v>
      </c>
      <c r="E36" s="40" t="s">
        <v>356</v>
      </c>
      <c r="F36" s="28" t="s">
        <v>27</v>
      </c>
      <c r="G36" s="29" t="s">
        <v>30</v>
      </c>
      <c r="H36" s="31" t="s">
        <v>29</v>
      </c>
    </row>
    <row r="37" spans="2:8" ht="21" x14ac:dyDescent="0.35">
      <c r="B37" s="60" t="str" cm="1">
        <f t="array" ref="B37">_xlfn._xlws.FILTER(
    CHOOSE({1,2,3,4},
        Clean_Data[SKU],
        Clean_Data[Product],
        Clean_Data[Stock_On_Hand],
        Clean_Data[Reorder_Level]
    ),
    Clean_Data[Stock Risk] = "Reorder Needed",
    "No low stock items"
)</f>
        <v>No low stock items</v>
      </c>
      <c r="C37" s="44"/>
      <c r="D37" s="44"/>
      <c r="E37" s="36"/>
      <c r="F37" s="35" t="s">
        <v>33</v>
      </c>
      <c r="G37" s="34">
        <v>80812.600000000006</v>
      </c>
      <c r="H37" s="36">
        <v>68</v>
      </c>
    </row>
    <row r="38" spans="2:8" x14ac:dyDescent="0.35">
      <c r="B38" s="45"/>
      <c r="C38" s="44"/>
      <c r="D38" s="44"/>
      <c r="E38" s="36"/>
      <c r="F38" s="35" t="s">
        <v>74</v>
      </c>
      <c r="G38" s="34">
        <v>68311.62</v>
      </c>
      <c r="H38" s="36">
        <v>69</v>
      </c>
    </row>
    <row r="39" spans="2:8" x14ac:dyDescent="0.35">
      <c r="B39" s="45"/>
      <c r="C39" s="44"/>
      <c r="D39" s="44"/>
      <c r="E39" s="36"/>
      <c r="F39" s="35" t="s">
        <v>41</v>
      </c>
      <c r="G39" s="34">
        <v>62479.340000000004</v>
      </c>
      <c r="H39" s="36">
        <v>45</v>
      </c>
    </row>
    <row r="40" spans="2:8" x14ac:dyDescent="0.35">
      <c r="B40" s="45"/>
      <c r="C40" s="44"/>
      <c r="D40" s="44"/>
      <c r="E40" s="36"/>
      <c r="F40" s="35" t="s">
        <v>45</v>
      </c>
      <c r="G40" s="34">
        <v>44880.75</v>
      </c>
      <c r="H40" s="36">
        <v>82</v>
      </c>
    </row>
    <row r="41" spans="2:8" x14ac:dyDescent="0.35">
      <c r="B41" s="46"/>
      <c r="C41" s="47"/>
      <c r="D41" s="47"/>
      <c r="E41" s="33"/>
      <c r="F41" s="32" t="s">
        <v>77</v>
      </c>
      <c r="G41" s="37">
        <v>34831.17</v>
      </c>
      <c r="H41" s="33">
        <v>50</v>
      </c>
    </row>
    <row r="42" spans="2:8" x14ac:dyDescent="0.35">
      <c r="B42" s="23"/>
      <c r="C42" s="23"/>
      <c r="D42" s="23"/>
      <c r="E42" s="23"/>
      <c r="F42" s="23"/>
      <c r="H42" s="21"/>
    </row>
    <row r="43" spans="2:8" x14ac:dyDescent="0.35">
      <c r="B43" s="23"/>
      <c r="C43" s="23"/>
      <c r="D43" s="23"/>
      <c r="E43" s="23"/>
      <c r="F43" s="23"/>
      <c r="H43" s="21"/>
    </row>
    <row r="44" spans="2:8" x14ac:dyDescent="0.35">
      <c r="B44" s="23"/>
      <c r="C44" s="23"/>
      <c r="D44" s="23"/>
      <c r="E44" s="23"/>
      <c r="F44" s="23"/>
      <c r="H44" s="21"/>
    </row>
    <row r="45" spans="2:8" x14ac:dyDescent="0.35">
      <c r="B45" s="23"/>
      <c r="C45" s="23"/>
      <c r="D45" s="23"/>
      <c r="E45" s="23"/>
      <c r="F45" s="23"/>
      <c r="H45" s="21"/>
    </row>
    <row r="46" spans="2:8" x14ac:dyDescent="0.35">
      <c r="B46" s="23"/>
      <c r="C46" s="23"/>
      <c r="D46" s="23"/>
      <c r="E46" s="23"/>
      <c r="F46" s="23"/>
      <c r="H46" s="21"/>
    </row>
    <row r="47" spans="2:8" x14ac:dyDescent="0.35">
      <c r="B47" s="23"/>
      <c r="C47" s="23"/>
      <c r="D47" s="23"/>
      <c r="E47" s="23"/>
      <c r="F47" s="23"/>
      <c r="H47" s="21"/>
    </row>
    <row r="48" spans="2:8" x14ac:dyDescent="0.35">
      <c r="B48" s="23"/>
      <c r="C48" s="23"/>
      <c r="D48" s="23"/>
      <c r="E48" s="23"/>
      <c r="F48" s="23"/>
      <c r="H48" s="21"/>
    </row>
  </sheetData>
  <mergeCells count="2">
    <mergeCell ref="B34:E34"/>
    <mergeCell ref="F34:H34"/>
  </mergeCells>
  <conditionalFormatting sqref="G37">
    <cfRule type="colorScale" priority="1">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634B3-530F-4941-8498-E980746D9DD5}">
  <dimension ref="A3:C9"/>
  <sheetViews>
    <sheetView workbookViewId="0">
      <selection activeCell="M18" sqref="M18"/>
    </sheetView>
  </sheetViews>
  <sheetFormatPr defaultRowHeight="14.5" x14ac:dyDescent="0.35"/>
  <cols>
    <col min="1" max="1" width="12.36328125" bestFit="1" customWidth="1"/>
    <col min="2" max="2" width="14.36328125" bestFit="1" customWidth="1"/>
    <col min="3" max="3" width="14.54296875" bestFit="1" customWidth="1"/>
  </cols>
  <sheetData>
    <row r="3" spans="1:3" x14ac:dyDescent="0.35">
      <c r="A3" s="15" t="s">
        <v>386</v>
      </c>
      <c r="B3" t="s">
        <v>388</v>
      </c>
      <c r="C3" t="s">
        <v>392</v>
      </c>
    </row>
    <row r="4" spans="1:3" x14ac:dyDescent="0.35">
      <c r="A4" s="16" t="s">
        <v>33</v>
      </c>
      <c r="B4" s="59">
        <v>80812.600000000006</v>
      </c>
      <c r="C4" s="59">
        <v>68</v>
      </c>
    </row>
    <row r="5" spans="1:3" x14ac:dyDescent="0.35">
      <c r="A5" s="16" t="s">
        <v>74</v>
      </c>
      <c r="B5" s="59">
        <v>68311.62</v>
      </c>
      <c r="C5" s="59">
        <v>69</v>
      </c>
    </row>
    <row r="6" spans="1:3" x14ac:dyDescent="0.35">
      <c r="A6" s="16" t="s">
        <v>41</v>
      </c>
      <c r="B6" s="59">
        <v>62479.340000000004</v>
      </c>
      <c r="C6" s="59">
        <v>45</v>
      </c>
    </row>
    <row r="7" spans="1:3" x14ac:dyDescent="0.35">
      <c r="A7" s="16" t="s">
        <v>45</v>
      </c>
      <c r="B7" s="59">
        <v>44880.75</v>
      </c>
      <c r="C7" s="59">
        <v>82</v>
      </c>
    </row>
    <row r="8" spans="1:3" x14ac:dyDescent="0.35">
      <c r="A8" s="16" t="s">
        <v>77</v>
      </c>
      <c r="B8" s="59">
        <v>34831.17</v>
      </c>
      <c r="C8" s="59">
        <v>50</v>
      </c>
    </row>
    <row r="9" spans="1:3" x14ac:dyDescent="0.35">
      <c r="A9" s="16" t="s">
        <v>387</v>
      </c>
      <c r="B9" s="59">
        <v>291315.48</v>
      </c>
      <c r="C9" s="59">
        <v>314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B6C56-3F56-4E36-8C6D-9BC54D2015A6}">
  <dimension ref="A3:B10"/>
  <sheetViews>
    <sheetView workbookViewId="0">
      <selection activeCell="H20" sqref="H20"/>
    </sheetView>
  </sheetViews>
  <sheetFormatPr defaultRowHeight="14.5" x14ac:dyDescent="0.35"/>
  <cols>
    <col min="1" max="1" width="12.36328125" bestFit="1" customWidth="1"/>
    <col min="2" max="2" width="14.36328125" bestFit="1" customWidth="1"/>
  </cols>
  <sheetData>
    <row r="3" spans="1:2" x14ac:dyDescent="0.35">
      <c r="A3" s="15" t="s">
        <v>386</v>
      </c>
      <c r="B3" t="s">
        <v>388</v>
      </c>
    </row>
    <row r="4" spans="1:2" x14ac:dyDescent="0.35">
      <c r="A4" s="16" t="s">
        <v>376</v>
      </c>
      <c r="B4" s="41">
        <v>14501.549999999996</v>
      </c>
    </row>
    <row r="5" spans="1:2" x14ac:dyDescent="0.35">
      <c r="A5" s="16" t="s">
        <v>373</v>
      </c>
      <c r="B5" s="41">
        <v>21880.720000000001</v>
      </c>
    </row>
    <row r="6" spans="1:2" x14ac:dyDescent="0.35">
      <c r="A6" s="16" t="s">
        <v>370</v>
      </c>
      <c r="B6" s="41">
        <v>34831.17</v>
      </c>
    </row>
    <row r="7" spans="1:2" x14ac:dyDescent="0.35">
      <c r="A7" s="16" t="s">
        <v>371</v>
      </c>
      <c r="B7" s="41">
        <v>45400.949999999983</v>
      </c>
    </row>
    <row r="8" spans="1:2" x14ac:dyDescent="0.35">
      <c r="A8" s="16" t="s">
        <v>367</v>
      </c>
      <c r="B8" s="41">
        <v>113192.36999999998</v>
      </c>
    </row>
    <row r="9" spans="1:2" x14ac:dyDescent="0.35">
      <c r="A9" s="16" t="s">
        <v>364</v>
      </c>
      <c r="B9" s="41">
        <v>143291.94</v>
      </c>
    </row>
    <row r="10" spans="1:2" x14ac:dyDescent="0.35">
      <c r="A10" s="16" t="s">
        <v>387</v>
      </c>
      <c r="B10" s="59">
        <v>373098.69999999995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A891E-EF67-4550-A2EF-DE7E918632DF}">
  <dimension ref="A1:P296"/>
  <sheetViews>
    <sheetView workbookViewId="0">
      <selection activeCell="H11" sqref="H11"/>
    </sheetView>
  </sheetViews>
  <sheetFormatPr defaultRowHeight="14.5" x14ac:dyDescent="0.35"/>
  <cols>
    <col min="1" max="1" width="15.1796875" bestFit="1" customWidth="1"/>
    <col min="2" max="2" width="10.81640625" bestFit="1" customWidth="1"/>
    <col min="3" max="3" width="6.36328125" bestFit="1" customWidth="1"/>
    <col min="4" max="4" width="13.7265625" bestFit="1" customWidth="1"/>
    <col min="6" max="6" width="10.453125" bestFit="1" customWidth="1"/>
    <col min="7" max="7" width="10.26953125" bestFit="1" customWidth="1"/>
    <col min="8" max="8" width="16.6328125" bestFit="1" customWidth="1"/>
    <col min="9" max="9" width="15" bestFit="1" customWidth="1"/>
    <col min="10" max="10" width="10.54296875" bestFit="1" customWidth="1"/>
    <col min="11" max="11" width="9.90625" bestFit="1" customWidth="1"/>
    <col min="12" max="12" width="6.81640625" bestFit="1" customWidth="1"/>
    <col min="13" max="13" width="11.453125" bestFit="1" customWidth="1"/>
    <col min="14" max="14" width="16.54296875" bestFit="1" customWidth="1"/>
    <col min="15" max="15" width="12.54296875" bestFit="1" customWidth="1"/>
    <col min="16" max="16" width="18.26953125" bestFit="1" customWidth="1"/>
  </cols>
  <sheetData>
    <row r="1" spans="1:16" x14ac:dyDescent="0.35">
      <c r="A1" t="s">
        <v>24</v>
      </c>
      <c r="B1" t="s">
        <v>25</v>
      </c>
      <c r="C1" t="s">
        <v>26</v>
      </c>
      <c r="D1" t="s">
        <v>27</v>
      </c>
      <c r="E1" t="s">
        <v>28</v>
      </c>
      <c r="F1" t="s">
        <v>29</v>
      </c>
      <c r="G1" t="s">
        <v>30</v>
      </c>
      <c r="H1" t="s">
        <v>355</v>
      </c>
      <c r="I1" t="s">
        <v>356</v>
      </c>
      <c r="J1" t="s">
        <v>361</v>
      </c>
      <c r="K1" t="s">
        <v>362</v>
      </c>
      <c r="L1" t="s">
        <v>363</v>
      </c>
      <c r="M1" t="s">
        <v>379</v>
      </c>
      <c r="N1" t="s">
        <v>380</v>
      </c>
      <c r="O1" t="s">
        <v>381</v>
      </c>
      <c r="P1" t="s">
        <v>382</v>
      </c>
    </row>
    <row r="2" spans="1:16" x14ac:dyDescent="0.35">
      <c r="A2" s="14">
        <v>46023</v>
      </c>
      <c r="B2" t="s">
        <v>31</v>
      </c>
      <c r="C2" t="s">
        <v>32</v>
      </c>
      <c r="D2" t="s">
        <v>33</v>
      </c>
      <c r="E2" t="s">
        <v>34</v>
      </c>
      <c r="F2">
        <v>1</v>
      </c>
      <c r="G2">
        <v>1199</v>
      </c>
      <c r="H2">
        <v>707</v>
      </c>
      <c r="I2">
        <v>8</v>
      </c>
      <c r="J2" t="s">
        <v>364</v>
      </c>
      <c r="K2" t="s">
        <v>365</v>
      </c>
      <c r="L2">
        <v>720</v>
      </c>
      <c r="M2" t="s">
        <v>383</v>
      </c>
      <c r="N2">
        <v>479</v>
      </c>
      <c r="O2">
        <v>479</v>
      </c>
      <c r="P2" t="s">
        <v>384</v>
      </c>
    </row>
    <row r="3" spans="1:16" x14ac:dyDescent="0.35">
      <c r="A3" s="14">
        <v>46027</v>
      </c>
      <c r="B3" t="s">
        <v>63</v>
      </c>
      <c r="C3" t="s">
        <v>32</v>
      </c>
      <c r="D3" t="s">
        <v>33</v>
      </c>
      <c r="E3" t="s">
        <v>34</v>
      </c>
      <c r="F3">
        <v>2</v>
      </c>
      <c r="G3">
        <v>2398</v>
      </c>
      <c r="H3">
        <v>707</v>
      </c>
      <c r="I3">
        <v>8</v>
      </c>
      <c r="J3" t="s">
        <v>364</v>
      </c>
      <c r="K3" t="s">
        <v>365</v>
      </c>
      <c r="L3">
        <v>720</v>
      </c>
      <c r="M3" t="s">
        <v>383</v>
      </c>
      <c r="N3">
        <v>479</v>
      </c>
      <c r="O3">
        <v>958</v>
      </c>
      <c r="P3" t="s">
        <v>385</v>
      </c>
    </row>
    <row r="4" spans="1:16" x14ac:dyDescent="0.35">
      <c r="A4" s="14">
        <v>46023</v>
      </c>
      <c r="B4" t="s">
        <v>39</v>
      </c>
      <c r="C4" t="s">
        <v>40</v>
      </c>
      <c r="D4" t="s">
        <v>41</v>
      </c>
      <c r="E4" t="s">
        <v>42</v>
      </c>
      <c r="F4">
        <v>1</v>
      </c>
      <c r="G4">
        <v>1385.01</v>
      </c>
      <c r="H4">
        <v>771</v>
      </c>
      <c r="I4">
        <v>8</v>
      </c>
      <c r="J4" t="s">
        <v>364</v>
      </c>
      <c r="K4" t="s">
        <v>366</v>
      </c>
      <c r="L4">
        <v>860</v>
      </c>
      <c r="M4" t="s">
        <v>383</v>
      </c>
      <c r="N4">
        <v>525.01</v>
      </c>
      <c r="O4">
        <v>525.01</v>
      </c>
      <c r="P4" t="s">
        <v>384</v>
      </c>
    </row>
    <row r="5" spans="1:16" x14ac:dyDescent="0.35">
      <c r="A5" s="14">
        <v>46025</v>
      </c>
      <c r="B5" t="s">
        <v>57</v>
      </c>
      <c r="C5" t="s">
        <v>40</v>
      </c>
      <c r="D5" t="s">
        <v>41</v>
      </c>
      <c r="E5" t="s">
        <v>52</v>
      </c>
      <c r="F5">
        <v>3</v>
      </c>
      <c r="G5">
        <v>4113.0600000000004</v>
      </c>
      <c r="H5">
        <v>771</v>
      </c>
      <c r="I5">
        <v>8</v>
      </c>
      <c r="J5" t="s">
        <v>364</v>
      </c>
      <c r="K5" t="s">
        <v>366</v>
      </c>
      <c r="L5">
        <v>860</v>
      </c>
      <c r="M5" t="s">
        <v>383</v>
      </c>
      <c r="N5">
        <v>511.02000000000021</v>
      </c>
      <c r="O5">
        <v>1533.0600000000004</v>
      </c>
      <c r="P5" t="s">
        <v>385</v>
      </c>
    </row>
    <row r="6" spans="1:16" x14ac:dyDescent="0.35">
      <c r="A6" s="14">
        <v>46023</v>
      </c>
      <c r="B6" t="s">
        <v>35</v>
      </c>
      <c r="C6" t="s">
        <v>36</v>
      </c>
      <c r="D6" t="s">
        <v>37</v>
      </c>
      <c r="E6" t="s">
        <v>38</v>
      </c>
      <c r="F6">
        <v>5</v>
      </c>
      <c r="G6">
        <v>196.95</v>
      </c>
      <c r="H6">
        <v>2350</v>
      </c>
      <c r="I6">
        <v>18</v>
      </c>
      <c r="J6" t="s">
        <v>373</v>
      </c>
      <c r="K6" t="s">
        <v>375</v>
      </c>
      <c r="L6">
        <v>15</v>
      </c>
      <c r="M6" t="s">
        <v>383</v>
      </c>
      <c r="N6">
        <v>24.39</v>
      </c>
      <c r="O6">
        <v>121.94999999999999</v>
      </c>
      <c r="P6" t="s">
        <v>384</v>
      </c>
    </row>
    <row r="7" spans="1:16" x14ac:dyDescent="0.35">
      <c r="A7" s="14">
        <v>46024</v>
      </c>
      <c r="B7" t="s">
        <v>53</v>
      </c>
      <c r="C7" t="s">
        <v>36</v>
      </c>
      <c r="D7" t="s">
        <v>37</v>
      </c>
      <c r="E7" t="s">
        <v>38</v>
      </c>
      <c r="F7">
        <v>2</v>
      </c>
      <c r="G7">
        <v>78.78</v>
      </c>
      <c r="H7">
        <v>2350</v>
      </c>
      <c r="I7">
        <v>18</v>
      </c>
      <c r="J7" t="s">
        <v>373</v>
      </c>
      <c r="K7" t="s">
        <v>375</v>
      </c>
      <c r="L7">
        <v>15</v>
      </c>
      <c r="M7" t="s">
        <v>383</v>
      </c>
      <c r="N7">
        <v>24.39</v>
      </c>
      <c r="O7">
        <v>48.78</v>
      </c>
      <c r="P7" t="s">
        <v>384</v>
      </c>
    </row>
    <row r="8" spans="1:16" x14ac:dyDescent="0.35">
      <c r="A8" s="14">
        <v>46026</v>
      </c>
      <c r="B8" t="s">
        <v>58</v>
      </c>
      <c r="C8" t="s">
        <v>36</v>
      </c>
      <c r="D8" t="s">
        <v>37</v>
      </c>
      <c r="E8" t="s">
        <v>42</v>
      </c>
      <c r="F8">
        <v>8</v>
      </c>
      <c r="G8">
        <v>308.88</v>
      </c>
      <c r="H8">
        <v>2350</v>
      </c>
      <c r="I8">
        <v>18</v>
      </c>
      <c r="J8" t="s">
        <v>373</v>
      </c>
      <c r="K8" t="s">
        <v>375</v>
      </c>
      <c r="L8">
        <v>15</v>
      </c>
      <c r="M8" t="s">
        <v>383</v>
      </c>
      <c r="N8">
        <v>23.61</v>
      </c>
      <c r="O8">
        <v>188.88</v>
      </c>
      <c r="P8" t="s">
        <v>384</v>
      </c>
    </row>
    <row r="9" spans="1:16" x14ac:dyDescent="0.35">
      <c r="A9" s="14">
        <v>46023</v>
      </c>
      <c r="B9" t="s">
        <v>43</v>
      </c>
      <c r="C9" t="s">
        <v>44</v>
      </c>
      <c r="D9" t="s">
        <v>45</v>
      </c>
      <c r="E9" t="s">
        <v>42</v>
      </c>
      <c r="F9">
        <v>1</v>
      </c>
      <c r="G9">
        <v>543.51</v>
      </c>
      <c r="H9">
        <v>1008</v>
      </c>
      <c r="I9">
        <v>12</v>
      </c>
      <c r="J9" t="s">
        <v>367</v>
      </c>
      <c r="K9" t="s">
        <v>369</v>
      </c>
      <c r="L9">
        <v>280</v>
      </c>
      <c r="M9" t="s">
        <v>383</v>
      </c>
      <c r="N9">
        <v>263.51</v>
      </c>
      <c r="O9">
        <v>263.51</v>
      </c>
      <c r="P9" t="s">
        <v>384</v>
      </c>
    </row>
    <row r="10" spans="1:16" x14ac:dyDescent="0.35">
      <c r="A10" s="14">
        <v>46026</v>
      </c>
      <c r="B10" t="s">
        <v>59</v>
      </c>
      <c r="C10" t="s">
        <v>60</v>
      </c>
      <c r="D10" t="s">
        <v>61</v>
      </c>
      <c r="E10" t="s">
        <v>42</v>
      </c>
      <c r="F10">
        <v>5</v>
      </c>
      <c r="G10">
        <v>1628.55</v>
      </c>
      <c r="H10">
        <v>802</v>
      </c>
      <c r="I10">
        <v>10</v>
      </c>
      <c r="J10" t="s">
        <v>371</v>
      </c>
      <c r="K10" t="s">
        <v>372</v>
      </c>
      <c r="L10">
        <v>155</v>
      </c>
      <c r="M10" t="s">
        <v>383</v>
      </c>
      <c r="N10">
        <v>170.70999999999998</v>
      </c>
      <c r="O10">
        <v>853.55</v>
      </c>
      <c r="P10" t="s">
        <v>384</v>
      </c>
    </row>
    <row r="11" spans="1:16" x14ac:dyDescent="0.35">
      <c r="A11" s="14">
        <v>46024</v>
      </c>
      <c r="B11" t="s">
        <v>49</v>
      </c>
      <c r="C11" t="s">
        <v>50</v>
      </c>
      <c r="D11" t="s">
        <v>51</v>
      </c>
      <c r="E11" t="s">
        <v>52</v>
      </c>
      <c r="F11">
        <v>1</v>
      </c>
      <c r="G11">
        <v>126.42</v>
      </c>
      <c r="H11">
        <v>2550</v>
      </c>
      <c r="I11">
        <v>18</v>
      </c>
      <c r="J11" t="s">
        <v>373</v>
      </c>
      <c r="K11" t="s">
        <v>374</v>
      </c>
      <c r="L11">
        <v>58</v>
      </c>
      <c r="M11" t="s">
        <v>383</v>
      </c>
      <c r="N11">
        <v>68.42</v>
      </c>
      <c r="O11">
        <v>68.42</v>
      </c>
      <c r="P11" t="s">
        <v>384</v>
      </c>
    </row>
    <row r="12" spans="1:16" x14ac:dyDescent="0.35">
      <c r="A12" s="14">
        <v>46024</v>
      </c>
      <c r="B12" t="s">
        <v>46</v>
      </c>
      <c r="C12" t="s">
        <v>47</v>
      </c>
      <c r="D12" t="s">
        <v>48</v>
      </c>
      <c r="E12" t="s">
        <v>42</v>
      </c>
      <c r="F12">
        <v>1</v>
      </c>
      <c r="G12">
        <v>58.41</v>
      </c>
      <c r="H12">
        <v>2442</v>
      </c>
      <c r="I12">
        <v>18</v>
      </c>
      <c r="J12" t="s">
        <v>373</v>
      </c>
      <c r="K12" t="s">
        <v>375</v>
      </c>
      <c r="L12">
        <v>22</v>
      </c>
      <c r="M12" t="s">
        <v>383</v>
      </c>
      <c r="N12">
        <v>36.409999999999997</v>
      </c>
      <c r="O12">
        <v>36.409999999999997</v>
      </c>
      <c r="P12" t="s">
        <v>384</v>
      </c>
    </row>
    <row r="13" spans="1:16" x14ac:dyDescent="0.35">
      <c r="A13" s="14">
        <v>46026</v>
      </c>
      <c r="B13" t="s">
        <v>62</v>
      </c>
      <c r="C13" t="s">
        <v>47</v>
      </c>
      <c r="D13" t="s">
        <v>48</v>
      </c>
      <c r="E13" t="s">
        <v>52</v>
      </c>
      <c r="F13">
        <v>3</v>
      </c>
      <c r="G13">
        <v>173.46</v>
      </c>
      <c r="H13">
        <v>2442</v>
      </c>
      <c r="I13">
        <v>18</v>
      </c>
      <c r="J13" t="s">
        <v>373</v>
      </c>
      <c r="K13" t="s">
        <v>375</v>
      </c>
      <c r="L13">
        <v>22</v>
      </c>
      <c r="M13" t="s">
        <v>383</v>
      </c>
      <c r="N13">
        <v>35.82</v>
      </c>
      <c r="O13">
        <v>107.46000000000001</v>
      </c>
      <c r="P13" t="s">
        <v>384</v>
      </c>
    </row>
    <row r="14" spans="1:16" x14ac:dyDescent="0.35">
      <c r="A14" s="14">
        <v>46025</v>
      </c>
      <c r="B14" t="s">
        <v>54</v>
      </c>
      <c r="C14" t="s">
        <v>55</v>
      </c>
      <c r="D14" t="s">
        <v>56</v>
      </c>
      <c r="E14" t="s">
        <v>42</v>
      </c>
      <c r="F14">
        <v>1</v>
      </c>
      <c r="G14">
        <v>88.11</v>
      </c>
      <c r="H14">
        <v>1374</v>
      </c>
      <c r="I14">
        <v>14</v>
      </c>
      <c r="J14" t="s">
        <v>376</v>
      </c>
      <c r="K14" t="s">
        <v>375</v>
      </c>
      <c r="L14">
        <v>34</v>
      </c>
      <c r="M14" t="s">
        <v>383</v>
      </c>
      <c r="N14">
        <v>54.11</v>
      </c>
      <c r="O14">
        <v>54.11</v>
      </c>
      <c r="P14" t="s">
        <v>384</v>
      </c>
    </row>
    <row r="15" spans="1:16" x14ac:dyDescent="0.35">
      <c r="A15" s="14">
        <v>46027</v>
      </c>
      <c r="B15" t="s">
        <v>64</v>
      </c>
      <c r="C15" t="s">
        <v>40</v>
      </c>
      <c r="D15" t="s">
        <v>41</v>
      </c>
      <c r="E15" t="s">
        <v>34</v>
      </c>
      <c r="F15">
        <v>1</v>
      </c>
      <c r="G15">
        <v>1399</v>
      </c>
      <c r="H15">
        <v>771</v>
      </c>
      <c r="I15">
        <v>8</v>
      </c>
      <c r="J15" t="s">
        <v>364</v>
      </c>
      <c r="K15" t="s">
        <v>366</v>
      </c>
      <c r="L15">
        <v>860</v>
      </c>
      <c r="M15" t="s">
        <v>383</v>
      </c>
      <c r="N15">
        <v>539</v>
      </c>
      <c r="O15">
        <v>539</v>
      </c>
      <c r="P15" t="s">
        <v>384</v>
      </c>
    </row>
    <row r="16" spans="1:16" x14ac:dyDescent="0.35">
      <c r="A16" s="14">
        <v>46027</v>
      </c>
      <c r="B16" t="s">
        <v>65</v>
      </c>
      <c r="C16" t="s">
        <v>44</v>
      </c>
      <c r="D16" t="s">
        <v>45</v>
      </c>
      <c r="E16" t="s">
        <v>38</v>
      </c>
      <c r="F16">
        <v>2</v>
      </c>
      <c r="G16">
        <v>1108.98</v>
      </c>
      <c r="H16">
        <v>1008</v>
      </c>
      <c r="I16">
        <v>12</v>
      </c>
      <c r="J16" t="s">
        <v>367</v>
      </c>
      <c r="K16" t="s">
        <v>369</v>
      </c>
      <c r="L16">
        <v>280</v>
      </c>
      <c r="M16" t="s">
        <v>383</v>
      </c>
      <c r="N16">
        <v>274.49</v>
      </c>
      <c r="O16">
        <v>548.98</v>
      </c>
      <c r="P16" t="s">
        <v>384</v>
      </c>
    </row>
    <row r="17" spans="1:16" x14ac:dyDescent="0.35">
      <c r="A17" s="14">
        <v>46027</v>
      </c>
      <c r="B17" t="s">
        <v>66</v>
      </c>
      <c r="C17" t="s">
        <v>60</v>
      </c>
      <c r="D17" t="s">
        <v>61</v>
      </c>
      <c r="E17" t="s">
        <v>34</v>
      </c>
      <c r="F17">
        <v>1</v>
      </c>
      <c r="G17">
        <v>329</v>
      </c>
      <c r="H17">
        <v>802</v>
      </c>
      <c r="I17">
        <v>10</v>
      </c>
      <c r="J17" t="s">
        <v>371</v>
      </c>
      <c r="K17" t="s">
        <v>372</v>
      </c>
      <c r="L17">
        <v>155</v>
      </c>
      <c r="M17" t="s">
        <v>383</v>
      </c>
      <c r="N17">
        <v>174</v>
      </c>
      <c r="O17">
        <v>174</v>
      </c>
      <c r="P17" t="s">
        <v>384</v>
      </c>
    </row>
    <row r="18" spans="1:16" x14ac:dyDescent="0.35">
      <c r="A18" s="14">
        <v>46028</v>
      </c>
      <c r="B18" t="s">
        <v>67</v>
      </c>
      <c r="C18" t="s">
        <v>47</v>
      </c>
      <c r="D18" t="s">
        <v>48</v>
      </c>
      <c r="E18" t="s">
        <v>38</v>
      </c>
      <c r="F18">
        <v>1</v>
      </c>
      <c r="G18">
        <v>59.59</v>
      </c>
      <c r="H18">
        <v>2442</v>
      </c>
      <c r="I18">
        <v>18</v>
      </c>
      <c r="J18" t="s">
        <v>373</v>
      </c>
      <c r="K18" t="s">
        <v>375</v>
      </c>
      <c r="L18">
        <v>22</v>
      </c>
      <c r="M18" t="s">
        <v>383</v>
      </c>
      <c r="N18">
        <v>37.590000000000003</v>
      </c>
      <c r="O18">
        <v>37.590000000000003</v>
      </c>
      <c r="P18" t="s">
        <v>384</v>
      </c>
    </row>
    <row r="19" spans="1:16" x14ac:dyDescent="0.35">
      <c r="A19" s="14">
        <v>46028</v>
      </c>
      <c r="B19" t="s">
        <v>68</v>
      </c>
      <c r="C19" t="s">
        <v>36</v>
      </c>
      <c r="D19" t="s">
        <v>37</v>
      </c>
      <c r="E19" t="s">
        <v>34</v>
      </c>
      <c r="F19">
        <v>2</v>
      </c>
      <c r="G19">
        <v>78</v>
      </c>
      <c r="H19">
        <v>2350</v>
      </c>
      <c r="I19">
        <v>18</v>
      </c>
      <c r="J19" t="s">
        <v>373</v>
      </c>
      <c r="K19" t="s">
        <v>375</v>
      </c>
      <c r="L19">
        <v>15</v>
      </c>
      <c r="M19" t="s">
        <v>383</v>
      </c>
      <c r="N19">
        <v>24</v>
      </c>
      <c r="O19">
        <v>48</v>
      </c>
      <c r="P19" t="s">
        <v>384</v>
      </c>
    </row>
    <row r="20" spans="1:16" x14ac:dyDescent="0.35">
      <c r="A20" s="14">
        <v>46028</v>
      </c>
      <c r="B20" t="s">
        <v>69</v>
      </c>
      <c r="C20" t="s">
        <v>55</v>
      </c>
      <c r="D20" t="s">
        <v>56</v>
      </c>
      <c r="E20" t="s">
        <v>38</v>
      </c>
      <c r="F20">
        <v>3</v>
      </c>
      <c r="G20">
        <v>269.67</v>
      </c>
      <c r="H20">
        <v>1374</v>
      </c>
      <c r="I20">
        <v>14</v>
      </c>
      <c r="J20" t="s">
        <v>376</v>
      </c>
      <c r="K20" t="s">
        <v>375</v>
      </c>
      <c r="L20">
        <v>34</v>
      </c>
      <c r="M20" t="s">
        <v>383</v>
      </c>
      <c r="N20">
        <v>55.89</v>
      </c>
      <c r="O20">
        <v>167.67000000000002</v>
      </c>
      <c r="P20" t="s">
        <v>384</v>
      </c>
    </row>
    <row r="21" spans="1:16" x14ac:dyDescent="0.35">
      <c r="A21" s="14">
        <v>46028</v>
      </c>
      <c r="B21" t="s">
        <v>70</v>
      </c>
      <c r="C21" t="s">
        <v>47</v>
      </c>
      <c r="D21" t="s">
        <v>48</v>
      </c>
      <c r="E21" t="s">
        <v>52</v>
      </c>
      <c r="F21">
        <v>4</v>
      </c>
      <c r="G21">
        <v>231.28</v>
      </c>
      <c r="H21">
        <v>2442</v>
      </c>
      <c r="I21">
        <v>18</v>
      </c>
      <c r="J21" t="s">
        <v>373</v>
      </c>
      <c r="K21" t="s">
        <v>375</v>
      </c>
      <c r="L21">
        <v>22</v>
      </c>
      <c r="M21" t="s">
        <v>383</v>
      </c>
      <c r="N21">
        <v>35.82</v>
      </c>
      <c r="O21">
        <v>143.28</v>
      </c>
      <c r="P21" t="s">
        <v>384</v>
      </c>
    </row>
    <row r="22" spans="1:16" x14ac:dyDescent="0.35">
      <c r="A22" s="14">
        <v>46029</v>
      </c>
      <c r="B22" t="s">
        <v>71</v>
      </c>
      <c r="C22" t="s">
        <v>32</v>
      </c>
      <c r="D22" t="s">
        <v>33</v>
      </c>
      <c r="E22" t="s">
        <v>42</v>
      </c>
      <c r="F22">
        <v>1</v>
      </c>
      <c r="G22">
        <v>1187.01</v>
      </c>
      <c r="H22">
        <v>707</v>
      </c>
      <c r="I22">
        <v>8</v>
      </c>
      <c r="J22" t="s">
        <v>364</v>
      </c>
      <c r="K22" t="s">
        <v>365</v>
      </c>
      <c r="L22">
        <v>720</v>
      </c>
      <c r="M22" t="s">
        <v>383</v>
      </c>
      <c r="N22">
        <v>467.01</v>
      </c>
      <c r="O22">
        <v>467.01</v>
      </c>
      <c r="P22" t="s">
        <v>384</v>
      </c>
    </row>
    <row r="23" spans="1:16" x14ac:dyDescent="0.35">
      <c r="A23" s="14">
        <v>46029</v>
      </c>
      <c r="B23" t="s">
        <v>72</v>
      </c>
      <c r="C23" t="s">
        <v>73</v>
      </c>
      <c r="D23" t="s">
        <v>74</v>
      </c>
      <c r="E23" t="s">
        <v>52</v>
      </c>
      <c r="F23">
        <v>5</v>
      </c>
      <c r="G23">
        <v>4895.1000000000004</v>
      </c>
      <c r="H23">
        <v>1034</v>
      </c>
      <c r="I23">
        <v>12</v>
      </c>
      <c r="J23" t="s">
        <v>367</v>
      </c>
      <c r="K23" t="s">
        <v>368</v>
      </c>
      <c r="L23">
        <v>640</v>
      </c>
      <c r="M23" t="s">
        <v>383</v>
      </c>
      <c r="N23">
        <v>339.0200000000001</v>
      </c>
      <c r="O23">
        <v>1695.1000000000004</v>
      </c>
      <c r="P23" t="s">
        <v>385</v>
      </c>
    </row>
    <row r="24" spans="1:16" x14ac:dyDescent="0.35">
      <c r="A24" s="14">
        <v>46029</v>
      </c>
      <c r="B24" t="s">
        <v>75</v>
      </c>
      <c r="C24" t="s">
        <v>76</v>
      </c>
      <c r="D24" t="s">
        <v>77</v>
      </c>
      <c r="E24" t="s">
        <v>38</v>
      </c>
      <c r="F24">
        <v>2</v>
      </c>
      <c r="G24">
        <v>1411.98</v>
      </c>
      <c r="H24">
        <v>578</v>
      </c>
      <c r="I24">
        <v>7</v>
      </c>
      <c r="J24" t="s">
        <v>370</v>
      </c>
      <c r="K24" t="s">
        <v>368</v>
      </c>
      <c r="L24">
        <v>360</v>
      </c>
      <c r="M24" t="s">
        <v>383</v>
      </c>
      <c r="N24">
        <v>345.99</v>
      </c>
      <c r="O24">
        <v>691.98</v>
      </c>
      <c r="P24" t="s">
        <v>384</v>
      </c>
    </row>
    <row r="25" spans="1:16" x14ac:dyDescent="0.35">
      <c r="A25" s="14">
        <v>46030</v>
      </c>
      <c r="B25" t="s">
        <v>78</v>
      </c>
      <c r="C25" t="s">
        <v>79</v>
      </c>
      <c r="D25" t="s">
        <v>80</v>
      </c>
      <c r="E25" t="s">
        <v>34</v>
      </c>
      <c r="F25">
        <v>1</v>
      </c>
      <c r="G25">
        <v>449</v>
      </c>
      <c r="H25">
        <v>772</v>
      </c>
      <c r="I25">
        <v>10</v>
      </c>
      <c r="J25" t="s">
        <v>371</v>
      </c>
      <c r="K25" t="s">
        <v>369</v>
      </c>
      <c r="L25">
        <v>220</v>
      </c>
      <c r="M25" t="s">
        <v>383</v>
      </c>
      <c r="N25">
        <v>229</v>
      </c>
      <c r="O25">
        <v>229</v>
      </c>
      <c r="P25" t="s">
        <v>384</v>
      </c>
    </row>
    <row r="26" spans="1:16" x14ac:dyDescent="0.35">
      <c r="A26" s="14">
        <v>46030</v>
      </c>
      <c r="B26" t="s">
        <v>81</v>
      </c>
      <c r="C26" t="s">
        <v>50</v>
      </c>
      <c r="D26" t="s">
        <v>51</v>
      </c>
      <c r="E26" t="s">
        <v>34</v>
      </c>
      <c r="F26">
        <v>3</v>
      </c>
      <c r="G26">
        <v>387</v>
      </c>
      <c r="H26">
        <v>2550</v>
      </c>
      <c r="I26">
        <v>18</v>
      </c>
      <c r="J26" t="s">
        <v>373</v>
      </c>
      <c r="K26" t="s">
        <v>374</v>
      </c>
      <c r="L26">
        <v>58</v>
      </c>
      <c r="M26" t="s">
        <v>383</v>
      </c>
      <c r="N26">
        <v>71</v>
      </c>
      <c r="O26">
        <v>213</v>
      </c>
      <c r="P26" t="s">
        <v>384</v>
      </c>
    </row>
    <row r="27" spans="1:16" x14ac:dyDescent="0.35">
      <c r="A27" s="14">
        <v>46030</v>
      </c>
      <c r="B27" t="s">
        <v>82</v>
      </c>
      <c r="C27" t="s">
        <v>83</v>
      </c>
      <c r="D27" t="s">
        <v>84</v>
      </c>
      <c r="E27" t="s">
        <v>42</v>
      </c>
      <c r="F27">
        <v>1</v>
      </c>
      <c r="G27">
        <v>117.81</v>
      </c>
      <c r="H27">
        <v>1432</v>
      </c>
      <c r="I27">
        <v>14</v>
      </c>
      <c r="J27" t="s">
        <v>376</v>
      </c>
      <c r="K27" t="s">
        <v>377</v>
      </c>
      <c r="L27">
        <v>48</v>
      </c>
      <c r="M27" t="s">
        <v>383</v>
      </c>
      <c r="N27">
        <v>69.81</v>
      </c>
      <c r="O27">
        <v>69.81</v>
      </c>
      <c r="P27" t="s">
        <v>384</v>
      </c>
    </row>
    <row r="28" spans="1:16" x14ac:dyDescent="0.35">
      <c r="A28" s="14">
        <v>46030</v>
      </c>
      <c r="B28" t="s">
        <v>85</v>
      </c>
      <c r="C28" t="s">
        <v>55</v>
      </c>
      <c r="D28" t="s">
        <v>56</v>
      </c>
      <c r="E28" t="s">
        <v>42</v>
      </c>
      <c r="F28">
        <v>1</v>
      </c>
      <c r="G28">
        <v>88.11</v>
      </c>
      <c r="H28">
        <v>1374</v>
      </c>
      <c r="I28">
        <v>14</v>
      </c>
      <c r="J28" t="s">
        <v>376</v>
      </c>
      <c r="K28" t="s">
        <v>375</v>
      </c>
      <c r="L28">
        <v>34</v>
      </c>
      <c r="M28" t="s">
        <v>383</v>
      </c>
      <c r="N28">
        <v>54.11</v>
      </c>
      <c r="O28">
        <v>54.11</v>
      </c>
      <c r="P28" t="s">
        <v>384</v>
      </c>
    </row>
    <row r="29" spans="1:16" x14ac:dyDescent="0.35">
      <c r="A29" s="14">
        <v>46031</v>
      </c>
      <c r="B29" t="s">
        <v>86</v>
      </c>
      <c r="C29" t="s">
        <v>40</v>
      </c>
      <c r="D29" t="s">
        <v>41</v>
      </c>
      <c r="E29" t="s">
        <v>38</v>
      </c>
      <c r="F29">
        <v>4</v>
      </c>
      <c r="G29">
        <v>5651.96</v>
      </c>
      <c r="H29">
        <v>771</v>
      </c>
      <c r="I29">
        <v>8</v>
      </c>
      <c r="J29" t="s">
        <v>364</v>
      </c>
      <c r="K29" t="s">
        <v>366</v>
      </c>
      <c r="L29">
        <v>860</v>
      </c>
      <c r="M29" t="s">
        <v>383</v>
      </c>
      <c r="N29">
        <v>552.99</v>
      </c>
      <c r="O29">
        <v>2211.96</v>
      </c>
      <c r="P29" t="s">
        <v>385</v>
      </c>
    </row>
    <row r="30" spans="1:16" x14ac:dyDescent="0.35">
      <c r="A30" s="14">
        <v>46031</v>
      </c>
      <c r="B30" t="s">
        <v>87</v>
      </c>
      <c r="C30" t="s">
        <v>60</v>
      </c>
      <c r="D30" t="s">
        <v>61</v>
      </c>
      <c r="E30" t="s">
        <v>34</v>
      </c>
      <c r="F30">
        <v>2</v>
      </c>
      <c r="G30">
        <v>658</v>
      </c>
      <c r="H30">
        <v>802</v>
      </c>
      <c r="I30">
        <v>10</v>
      </c>
      <c r="J30" t="s">
        <v>371</v>
      </c>
      <c r="K30" t="s">
        <v>372</v>
      </c>
      <c r="L30">
        <v>155</v>
      </c>
      <c r="M30" t="s">
        <v>383</v>
      </c>
      <c r="N30">
        <v>174</v>
      </c>
      <c r="O30">
        <v>348</v>
      </c>
      <c r="P30" t="s">
        <v>384</v>
      </c>
    </row>
    <row r="31" spans="1:16" x14ac:dyDescent="0.35">
      <c r="A31" s="14">
        <v>46031</v>
      </c>
      <c r="B31" t="s">
        <v>88</v>
      </c>
      <c r="C31" t="s">
        <v>55</v>
      </c>
      <c r="D31" t="s">
        <v>56</v>
      </c>
      <c r="E31" t="s">
        <v>42</v>
      </c>
      <c r="F31">
        <v>8</v>
      </c>
      <c r="G31">
        <v>704.88</v>
      </c>
      <c r="H31">
        <v>1374</v>
      </c>
      <c r="I31">
        <v>14</v>
      </c>
      <c r="J31" t="s">
        <v>376</v>
      </c>
      <c r="K31" t="s">
        <v>375</v>
      </c>
      <c r="L31">
        <v>34</v>
      </c>
      <c r="M31" t="s">
        <v>383</v>
      </c>
      <c r="N31">
        <v>54.11</v>
      </c>
      <c r="O31">
        <v>432.88</v>
      </c>
      <c r="P31" t="s">
        <v>384</v>
      </c>
    </row>
    <row r="32" spans="1:16" x14ac:dyDescent="0.35">
      <c r="A32" s="14">
        <v>46032</v>
      </c>
      <c r="B32" t="s">
        <v>89</v>
      </c>
      <c r="C32" t="s">
        <v>32</v>
      </c>
      <c r="D32" t="s">
        <v>33</v>
      </c>
      <c r="E32" t="s">
        <v>38</v>
      </c>
      <c r="F32">
        <v>3</v>
      </c>
      <c r="G32">
        <v>3632.97</v>
      </c>
      <c r="H32">
        <v>707</v>
      </c>
      <c r="I32">
        <v>8</v>
      </c>
      <c r="J32" t="s">
        <v>364</v>
      </c>
      <c r="K32" t="s">
        <v>365</v>
      </c>
      <c r="L32">
        <v>720</v>
      </c>
      <c r="M32" t="s">
        <v>383</v>
      </c>
      <c r="N32">
        <v>490.99</v>
      </c>
      <c r="O32">
        <v>1472.9699999999998</v>
      </c>
      <c r="P32" t="s">
        <v>385</v>
      </c>
    </row>
    <row r="33" spans="1:16" x14ac:dyDescent="0.35">
      <c r="A33" s="14">
        <v>46032</v>
      </c>
      <c r="B33" t="s">
        <v>90</v>
      </c>
      <c r="C33" t="s">
        <v>50</v>
      </c>
      <c r="D33" t="s">
        <v>51</v>
      </c>
      <c r="E33" t="s">
        <v>34</v>
      </c>
      <c r="F33">
        <v>3</v>
      </c>
      <c r="G33">
        <v>387</v>
      </c>
      <c r="H33">
        <v>2550</v>
      </c>
      <c r="I33">
        <v>18</v>
      </c>
      <c r="J33" t="s">
        <v>373</v>
      </c>
      <c r="K33" t="s">
        <v>374</v>
      </c>
      <c r="L33">
        <v>58</v>
      </c>
      <c r="M33" t="s">
        <v>383</v>
      </c>
      <c r="N33">
        <v>71</v>
      </c>
      <c r="O33">
        <v>213</v>
      </c>
      <c r="P33" t="s">
        <v>384</v>
      </c>
    </row>
    <row r="34" spans="1:16" x14ac:dyDescent="0.35">
      <c r="A34" s="14">
        <v>46032</v>
      </c>
      <c r="B34" t="s">
        <v>91</v>
      </c>
      <c r="C34" t="s">
        <v>40</v>
      </c>
      <c r="D34" t="s">
        <v>41</v>
      </c>
      <c r="E34" t="s">
        <v>42</v>
      </c>
      <c r="F34">
        <v>2</v>
      </c>
      <c r="G34">
        <v>2770.02</v>
      </c>
      <c r="H34">
        <v>771</v>
      </c>
      <c r="I34">
        <v>8</v>
      </c>
      <c r="J34" t="s">
        <v>364</v>
      </c>
      <c r="K34" t="s">
        <v>366</v>
      </c>
      <c r="L34">
        <v>860</v>
      </c>
      <c r="M34" t="s">
        <v>383</v>
      </c>
      <c r="N34">
        <v>525.01</v>
      </c>
      <c r="O34">
        <v>1050.02</v>
      </c>
      <c r="P34" t="s">
        <v>385</v>
      </c>
    </row>
    <row r="35" spans="1:16" x14ac:dyDescent="0.35">
      <c r="A35" s="14">
        <v>46033</v>
      </c>
      <c r="B35" t="s">
        <v>92</v>
      </c>
      <c r="C35" t="s">
        <v>83</v>
      </c>
      <c r="D35" t="s">
        <v>84</v>
      </c>
      <c r="E35" t="s">
        <v>34</v>
      </c>
      <c r="F35">
        <v>2</v>
      </c>
      <c r="G35">
        <v>238</v>
      </c>
      <c r="H35">
        <v>1432</v>
      </c>
      <c r="I35">
        <v>14</v>
      </c>
      <c r="J35" t="s">
        <v>376</v>
      </c>
      <c r="K35" t="s">
        <v>377</v>
      </c>
      <c r="L35">
        <v>48</v>
      </c>
      <c r="M35" t="s">
        <v>383</v>
      </c>
      <c r="N35">
        <v>71</v>
      </c>
      <c r="O35">
        <v>142</v>
      </c>
      <c r="P35" t="s">
        <v>384</v>
      </c>
    </row>
    <row r="36" spans="1:16" x14ac:dyDescent="0.35">
      <c r="A36" s="14">
        <v>46033</v>
      </c>
      <c r="B36" t="s">
        <v>378</v>
      </c>
      <c r="C36" t="s">
        <v>73</v>
      </c>
      <c r="D36" t="s">
        <v>74</v>
      </c>
      <c r="E36" t="s">
        <v>52</v>
      </c>
      <c r="F36">
        <v>5</v>
      </c>
      <c r="G36">
        <v>4895.1000000000004</v>
      </c>
      <c r="H36">
        <v>1034</v>
      </c>
      <c r="I36">
        <v>12</v>
      </c>
      <c r="J36" t="s">
        <v>367</v>
      </c>
      <c r="K36" t="s">
        <v>368</v>
      </c>
      <c r="L36">
        <v>640</v>
      </c>
      <c r="M36" t="s">
        <v>383</v>
      </c>
      <c r="N36">
        <v>339.0200000000001</v>
      </c>
      <c r="O36">
        <v>1695.1000000000004</v>
      </c>
      <c r="P36" t="s">
        <v>385</v>
      </c>
    </row>
    <row r="37" spans="1:16" x14ac:dyDescent="0.35">
      <c r="A37" s="14">
        <v>46033</v>
      </c>
      <c r="B37" t="s">
        <v>93</v>
      </c>
      <c r="C37" t="s">
        <v>44</v>
      </c>
      <c r="D37" t="s">
        <v>45</v>
      </c>
      <c r="E37" t="s">
        <v>38</v>
      </c>
      <c r="F37">
        <v>3</v>
      </c>
      <c r="G37">
        <v>1663.47</v>
      </c>
      <c r="H37">
        <v>1008</v>
      </c>
      <c r="I37">
        <v>12</v>
      </c>
      <c r="J37" t="s">
        <v>367</v>
      </c>
      <c r="K37" t="s">
        <v>369</v>
      </c>
      <c r="L37">
        <v>280</v>
      </c>
      <c r="M37" t="s">
        <v>383</v>
      </c>
      <c r="N37">
        <v>274.49</v>
      </c>
      <c r="O37">
        <v>823.47</v>
      </c>
      <c r="P37" t="s">
        <v>384</v>
      </c>
    </row>
    <row r="38" spans="1:16" x14ac:dyDescent="0.35">
      <c r="A38" s="14">
        <v>46034</v>
      </c>
      <c r="B38" t="s">
        <v>94</v>
      </c>
      <c r="C38" t="s">
        <v>36</v>
      </c>
      <c r="D38" t="s">
        <v>37</v>
      </c>
      <c r="E38" t="s">
        <v>42</v>
      </c>
      <c r="F38">
        <v>4</v>
      </c>
      <c r="G38">
        <v>154.44</v>
      </c>
      <c r="H38">
        <v>2350</v>
      </c>
      <c r="I38">
        <v>18</v>
      </c>
      <c r="J38" t="s">
        <v>373</v>
      </c>
      <c r="K38" t="s">
        <v>375</v>
      </c>
      <c r="L38">
        <v>15</v>
      </c>
      <c r="M38" t="s">
        <v>383</v>
      </c>
      <c r="N38">
        <v>23.61</v>
      </c>
      <c r="O38">
        <v>94.44</v>
      </c>
      <c r="P38" t="s">
        <v>384</v>
      </c>
    </row>
    <row r="39" spans="1:16" x14ac:dyDescent="0.35">
      <c r="A39" s="14">
        <v>46034</v>
      </c>
      <c r="B39" t="s">
        <v>95</v>
      </c>
      <c r="C39" t="s">
        <v>50</v>
      </c>
      <c r="D39" t="s">
        <v>51</v>
      </c>
      <c r="E39" t="s">
        <v>34</v>
      </c>
      <c r="F39">
        <v>2</v>
      </c>
      <c r="G39">
        <v>258</v>
      </c>
      <c r="H39">
        <v>2550</v>
      </c>
      <c r="I39">
        <v>18</v>
      </c>
      <c r="J39" t="s">
        <v>373</v>
      </c>
      <c r="K39" t="s">
        <v>374</v>
      </c>
      <c r="L39">
        <v>58</v>
      </c>
      <c r="M39" t="s">
        <v>383</v>
      </c>
      <c r="N39">
        <v>71</v>
      </c>
      <c r="O39">
        <v>142</v>
      </c>
      <c r="P39" t="s">
        <v>384</v>
      </c>
    </row>
    <row r="40" spans="1:16" x14ac:dyDescent="0.35">
      <c r="A40" s="14">
        <v>46034</v>
      </c>
      <c r="B40" t="s">
        <v>96</v>
      </c>
      <c r="C40" t="s">
        <v>32</v>
      </c>
      <c r="D40" t="s">
        <v>33</v>
      </c>
      <c r="E40" t="s">
        <v>52</v>
      </c>
      <c r="F40">
        <v>5</v>
      </c>
      <c r="G40">
        <v>5875.1</v>
      </c>
      <c r="H40">
        <v>707</v>
      </c>
      <c r="I40">
        <v>8</v>
      </c>
      <c r="J40" t="s">
        <v>364</v>
      </c>
      <c r="K40" t="s">
        <v>365</v>
      </c>
      <c r="L40">
        <v>720</v>
      </c>
      <c r="M40" t="s">
        <v>383</v>
      </c>
      <c r="N40">
        <v>455.02</v>
      </c>
      <c r="O40">
        <v>2275.1000000000004</v>
      </c>
      <c r="P40" t="s">
        <v>385</v>
      </c>
    </row>
    <row r="41" spans="1:16" x14ac:dyDescent="0.35">
      <c r="A41" s="14">
        <v>46035</v>
      </c>
      <c r="B41" t="s">
        <v>97</v>
      </c>
      <c r="C41" t="s">
        <v>76</v>
      </c>
      <c r="D41" t="s">
        <v>77</v>
      </c>
      <c r="E41" t="s">
        <v>34</v>
      </c>
      <c r="F41">
        <v>5</v>
      </c>
      <c r="G41">
        <v>3495</v>
      </c>
      <c r="H41">
        <v>578</v>
      </c>
      <c r="I41">
        <v>7</v>
      </c>
      <c r="J41" t="s">
        <v>370</v>
      </c>
      <c r="K41" t="s">
        <v>368</v>
      </c>
      <c r="L41">
        <v>360</v>
      </c>
      <c r="M41" t="s">
        <v>383</v>
      </c>
      <c r="N41">
        <v>339</v>
      </c>
      <c r="O41">
        <v>1695</v>
      </c>
      <c r="P41" t="s">
        <v>385</v>
      </c>
    </row>
    <row r="42" spans="1:16" x14ac:dyDescent="0.35">
      <c r="A42" s="14">
        <v>46035</v>
      </c>
      <c r="B42" t="s">
        <v>98</v>
      </c>
      <c r="C42" t="s">
        <v>55</v>
      </c>
      <c r="D42" t="s">
        <v>56</v>
      </c>
      <c r="E42" t="s">
        <v>34</v>
      </c>
      <c r="F42">
        <v>2</v>
      </c>
      <c r="G42">
        <v>178</v>
      </c>
      <c r="H42">
        <v>1374</v>
      </c>
      <c r="I42">
        <v>14</v>
      </c>
      <c r="J42" t="s">
        <v>376</v>
      </c>
      <c r="K42" t="s">
        <v>375</v>
      </c>
      <c r="L42">
        <v>34</v>
      </c>
      <c r="M42" t="s">
        <v>383</v>
      </c>
      <c r="N42">
        <v>55</v>
      </c>
      <c r="O42">
        <v>110</v>
      </c>
      <c r="P42" t="s">
        <v>384</v>
      </c>
    </row>
    <row r="43" spans="1:16" x14ac:dyDescent="0.35">
      <c r="A43" s="14">
        <v>46035</v>
      </c>
      <c r="B43" t="s">
        <v>99</v>
      </c>
      <c r="C43" t="s">
        <v>32</v>
      </c>
      <c r="D43" t="s">
        <v>33</v>
      </c>
      <c r="E43" t="s">
        <v>52</v>
      </c>
      <c r="F43">
        <v>4</v>
      </c>
      <c r="G43">
        <v>4700.08</v>
      </c>
      <c r="H43">
        <v>707</v>
      </c>
      <c r="I43">
        <v>8</v>
      </c>
      <c r="J43" t="s">
        <v>364</v>
      </c>
      <c r="K43" t="s">
        <v>365</v>
      </c>
      <c r="L43">
        <v>720</v>
      </c>
      <c r="M43" t="s">
        <v>383</v>
      </c>
      <c r="N43">
        <v>455.02</v>
      </c>
      <c r="O43">
        <v>1820.08</v>
      </c>
      <c r="P43" t="s">
        <v>385</v>
      </c>
    </row>
    <row r="44" spans="1:16" x14ac:dyDescent="0.35">
      <c r="A44" s="14">
        <v>46035</v>
      </c>
      <c r="B44" t="s">
        <v>100</v>
      </c>
      <c r="C44" t="s">
        <v>73</v>
      </c>
      <c r="D44" t="s">
        <v>74</v>
      </c>
      <c r="E44" t="s">
        <v>42</v>
      </c>
      <c r="F44">
        <v>3</v>
      </c>
      <c r="G44">
        <v>2967.03</v>
      </c>
      <c r="H44">
        <v>1034</v>
      </c>
      <c r="I44">
        <v>12</v>
      </c>
      <c r="J44" t="s">
        <v>367</v>
      </c>
      <c r="K44" t="s">
        <v>368</v>
      </c>
      <c r="L44">
        <v>640</v>
      </c>
      <c r="M44" t="s">
        <v>383</v>
      </c>
      <c r="N44">
        <v>349.0100000000001</v>
      </c>
      <c r="O44">
        <v>1047.0300000000002</v>
      </c>
      <c r="P44" t="s">
        <v>385</v>
      </c>
    </row>
    <row r="45" spans="1:16" x14ac:dyDescent="0.35">
      <c r="A45" s="14">
        <v>46036</v>
      </c>
      <c r="B45" t="s">
        <v>101</v>
      </c>
      <c r="C45" t="s">
        <v>83</v>
      </c>
      <c r="D45" t="s">
        <v>84</v>
      </c>
      <c r="E45" t="s">
        <v>42</v>
      </c>
      <c r="F45">
        <v>1</v>
      </c>
      <c r="G45">
        <v>117.81</v>
      </c>
      <c r="H45">
        <v>1432</v>
      </c>
      <c r="I45">
        <v>14</v>
      </c>
      <c r="J45" t="s">
        <v>376</v>
      </c>
      <c r="K45" t="s">
        <v>377</v>
      </c>
      <c r="L45">
        <v>48</v>
      </c>
      <c r="M45" t="s">
        <v>383</v>
      </c>
      <c r="N45">
        <v>69.81</v>
      </c>
      <c r="O45">
        <v>69.81</v>
      </c>
      <c r="P45" t="s">
        <v>384</v>
      </c>
    </row>
    <row r="46" spans="1:16" x14ac:dyDescent="0.35">
      <c r="A46" s="14">
        <v>46036</v>
      </c>
      <c r="B46" t="s">
        <v>102</v>
      </c>
      <c r="C46" t="s">
        <v>50</v>
      </c>
      <c r="D46" t="s">
        <v>51</v>
      </c>
      <c r="E46" t="s">
        <v>38</v>
      </c>
      <c r="F46">
        <v>1</v>
      </c>
      <c r="G46">
        <v>130.29</v>
      </c>
      <c r="H46">
        <v>2550</v>
      </c>
      <c r="I46">
        <v>18</v>
      </c>
      <c r="J46" t="s">
        <v>373</v>
      </c>
      <c r="K46" t="s">
        <v>374</v>
      </c>
      <c r="L46">
        <v>58</v>
      </c>
      <c r="M46" t="s">
        <v>383</v>
      </c>
      <c r="N46">
        <v>72.289999999999992</v>
      </c>
      <c r="O46">
        <v>72.289999999999992</v>
      </c>
      <c r="P46" t="s">
        <v>384</v>
      </c>
    </row>
    <row r="47" spans="1:16" x14ac:dyDescent="0.35">
      <c r="A47" s="14">
        <v>46036</v>
      </c>
      <c r="B47" t="s">
        <v>103</v>
      </c>
      <c r="C47" t="s">
        <v>76</v>
      </c>
      <c r="D47" t="s">
        <v>77</v>
      </c>
      <c r="E47" t="s">
        <v>52</v>
      </c>
      <c r="F47">
        <v>3</v>
      </c>
      <c r="G47">
        <v>2055.06</v>
      </c>
      <c r="H47">
        <v>578</v>
      </c>
      <c r="I47">
        <v>7</v>
      </c>
      <c r="J47" t="s">
        <v>370</v>
      </c>
      <c r="K47" t="s">
        <v>368</v>
      </c>
      <c r="L47">
        <v>360</v>
      </c>
      <c r="M47" t="s">
        <v>383</v>
      </c>
      <c r="N47">
        <v>325.02</v>
      </c>
      <c r="O47">
        <v>975.06</v>
      </c>
      <c r="P47" t="s">
        <v>385</v>
      </c>
    </row>
    <row r="48" spans="1:16" x14ac:dyDescent="0.35">
      <c r="A48" s="14">
        <v>46037</v>
      </c>
      <c r="B48" t="s">
        <v>104</v>
      </c>
      <c r="C48" t="s">
        <v>50</v>
      </c>
      <c r="D48" t="s">
        <v>51</v>
      </c>
      <c r="E48" t="s">
        <v>34</v>
      </c>
      <c r="F48">
        <v>1</v>
      </c>
      <c r="G48">
        <v>129</v>
      </c>
      <c r="H48">
        <v>2550</v>
      </c>
      <c r="I48">
        <v>18</v>
      </c>
      <c r="J48" t="s">
        <v>373</v>
      </c>
      <c r="K48" t="s">
        <v>374</v>
      </c>
      <c r="L48">
        <v>58</v>
      </c>
      <c r="M48" t="s">
        <v>383</v>
      </c>
      <c r="N48">
        <v>71</v>
      </c>
      <c r="O48">
        <v>71</v>
      </c>
      <c r="P48" t="s">
        <v>384</v>
      </c>
    </row>
    <row r="49" spans="1:16" x14ac:dyDescent="0.35">
      <c r="A49" s="14">
        <v>46037</v>
      </c>
      <c r="B49" t="s">
        <v>105</v>
      </c>
      <c r="C49" t="s">
        <v>76</v>
      </c>
      <c r="D49" t="s">
        <v>77</v>
      </c>
      <c r="E49" t="s">
        <v>38</v>
      </c>
      <c r="F49">
        <v>1</v>
      </c>
      <c r="G49">
        <v>705.99</v>
      </c>
      <c r="H49">
        <v>578</v>
      </c>
      <c r="I49">
        <v>7</v>
      </c>
      <c r="J49" t="s">
        <v>370</v>
      </c>
      <c r="K49" t="s">
        <v>368</v>
      </c>
      <c r="L49">
        <v>360</v>
      </c>
      <c r="M49" t="s">
        <v>383</v>
      </c>
      <c r="N49">
        <v>345.99</v>
      </c>
      <c r="O49">
        <v>345.99</v>
      </c>
      <c r="P49" t="s">
        <v>384</v>
      </c>
    </row>
    <row r="50" spans="1:16" x14ac:dyDescent="0.35">
      <c r="A50" s="14">
        <v>46037</v>
      </c>
      <c r="B50" t="s">
        <v>106</v>
      </c>
      <c r="C50" t="s">
        <v>44</v>
      </c>
      <c r="D50" t="s">
        <v>45</v>
      </c>
      <c r="E50" t="s">
        <v>34</v>
      </c>
      <c r="F50">
        <v>3</v>
      </c>
      <c r="G50">
        <v>1647</v>
      </c>
      <c r="H50">
        <v>1008</v>
      </c>
      <c r="I50">
        <v>12</v>
      </c>
      <c r="J50" t="s">
        <v>367</v>
      </c>
      <c r="K50" t="s">
        <v>369</v>
      </c>
      <c r="L50">
        <v>280</v>
      </c>
      <c r="M50" t="s">
        <v>383</v>
      </c>
      <c r="N50">
        <v>269</v>
      </c>
      <c r="O50">
        <v>807</v>
      </c>
      <c r="P50" t="s">
        <v>384</v>
      </c>
    </row>
    <row r="51" spans="1:16" x14ac:dyDescent="0.35">
      <c r="A51" s="14">
        <v>46037</v>
      </c>
      <c r="B51" t="s">
        <v>107</v>
      </c>
      <c r="C51" t="s">
        <v>44</v>
      </c>
      <c r="D51" t="s">
        <v>45</v>
      </c>
      <c r="E51" t="s">
        <v>52</v>
      </c>
      <c r="F51">
        <v>5</v>
      </c>
      <c r="G51">
        <v>2690.1</v>
      </c>
      <c r="H51">
        <v>1008</v>
      </c>
      <c r="I51">
        <v>12</v>
      </c>
      <c r="J51" t="s">
        <v>367</v>
      </c>
      <c r="K51" t="s">
        <v>369</v>
      </c>
      <c r="L51">
        <v>280</v>
      </c>
      <c r="M51" t="s">
        <v>383</v>
      </c>
      <c r="N51">
        <v>258.02</v>
      </c>
      <c r="O51">
        <v>1290.0999999999999</v>
      </c>
      <c r="P51" t="s">
        <v>385</v>
      </c>
    </row>
    <row r="52" spans="1:16" x14ac:dyDescent="0.35">
      <c r="A52" s="14">
        <v>46038</v>
      </c>
      <c r="B52" t="s">
        <v>108</v>
      </c>
      <c r="C52" t="s">
        <v>44</v>
      </c>
      <c r="D52" t="s">
        <v>45</v>
      </c>
      <c r="E52" t="s">
        <v>38</v>
      </c>
      <c r="F52">
        <v>1</v>
      </c>
      <c r="G52">
        <v>554.49</v>
      </c>
      <c r="H52">
        <v>1008</v>
      </c>
      <c r="I52">
        <v>12</v>
      </c>
      <c r="J52" t="s">
        <v>367</v>
      </c>
      <c r="K52" t="s">
        <v>369</v>
      </c>
      <c r="L52">
        <v>280</v>
      </c>
      <c r="M52" t="s">
        <v>383</v>
      </c>
      <c r="N52">
        <v>274.49</v>
      </c>
      <c r="O52">
        <v>274.49</v>
      </c>
      <c r="P52" t="s">
        <v>384</v>
      </c>
    </row>
    <row r="53" spans="1:16" x14ac:dyDescent="0.35">
      <c r="A53" s="14">
        <v>46038</v>
      </c>
      <c r="B53" t="s">
        <v>109</v>
      </c>
      <c r="C53" t="s">
        <v>73</v>
      </c>
      <c r="D53" t="s">
        <v>74</v>
      </c>
      <c r="E53" t="s">
        <v>52</v>
      </c>
      <c r="F53">
        <v>3</v>
      </c>
      <c r="G53">
        <v>2937.06</v>
      </c>
      <c r="H53">
        <v>1034</v>
      </c>
      <c r="I53">
        <v>12</v>
      </c>
      <c r="J53" t="s">
        <v>367</v>
      </c>
      <c r="K53" t="s">
        <v>368</v>
      </c>
      <c r="L53">
        <v>640</v>
      </c>
      <c r="M53" t="s">
        <v>383</v>
      </c>
      <c r="N53">
        <v>339.02</v>
      </c>
      <c r="O53">
        <v>1017.06</v>
      </c>
      <c r="P53" t="s">
        <v>385</v>
      </c>
    </row>
    <row r="54" spans="1:16" x14ac:dyDescent="0.35">
      <c r="A54" s="14">
        <v>46038</v>
      </c>
      <c r="B54" t="s">
        <v>110</v>
      </c>
      <c r="C54" t="s">
        <v>79</v>
      </c>
      <c r="D54" t="s">
        <v>80</v>
      </c>
      <c r="E54" t="s">
        <v>52</v>
      </c>
      <c r="F54">
        <v>4</v>
      </c>
      <c r="G54">
        <v>1760.08</v>
      </c>
      <c r="H54">
        <v>772</v>
      </c>
      <c r="I54">
        <v>10</v>
      </c>
      <c r="J54" t="s">
        <v>371</v>
      </c>
      <c r="K54" t="s">
        <v>369</v>
      </c>
      <c r="L54">
        <v>220</v>
      </c>
      <c r="M54" t="s">
        <v>383</v>
      </c>
      <c r="N54">
        <v>220.01999999999998</v>
      </c>
      <c r="O54">
        <v>880.07999999999993</v>
      </c>
      <c r="P54" t="s">
        <v>384</v>
      </c>
    </row>
    <row r="55" spans="1:16" x14ac:dyDescent="0.35">
      <c r="A55" s="14">
        <v>46039</v>
      </c>
      <c r="B55" t="s">
        <v>111</v>
      </c>
      <c r="C55" t="s">
        <v>40</v>
      </c>
      <c r="D55" t="s">
        <v>41</v>
      </c>
      <c r="E55" t="s">
        <v>42</v>
      </c>
      <c r="F55">
        <v>2</v>
      </c>
      <c r="G55">
        <v>2770.02</v>
      </c>
      <c r="H55">
        <v>771</v>
      </c>
      <c r="I55">
        <v>8</v>
      </c>
      <c r="J55" t="s">
        <v>364</v>
      </c>
      <c r="K55" t="s">
        <v>366</v>
      </c>
      <c r="L55">
        <v>860</v>
      </c>
      <c r="M55" t="s">
        <v>383</v>
      </c>
      <c r="N55">
        <v>525.01</v>
      </c>
      <c r="O55">
        <v>1050.02</v>
      </c>
      <c r="P55" t="s">
        <v>385</v>
      </c>
    </row>
    <row r="56" spans="1:16" x14ac:dyDescent="0.35">
      <c r="A56" s="14">
        <v>46039</v>
      </c>
      <c r="B56" t="s">
        <v>112</v>
      </c>
      <c r="C56" t="s">
        <v>79</v>
      </c>
      <c r="D56" t="s">
        <v>80</v>
      </c>
      <c r="E56" t="s">
        <v>38</v>
      </c>
      <c r="F56">
        <v>3</v>
      </c>
      <c r="G56">
        <v>1360.47</v>
      </c>
      <c r="H56">
        <v>772</v>
      </c>
      <c r="I56">
        <v>10</v>
      </c>
      <c r="J56" t="s">
        <v>371</v>
      </c>
      <c r="K56" t="s">
        <v>369</v>
      </c>
      <c r="L56">
        <v>220</v>
      </c>
      <c r="M56" t="s">
        <v>383</v>
      </c>
      <c r="N56">
        <v>233.49</v>
      </c>
      <c r="O56">
        <v>700.47</v>
      </c>
      <c r="P56" t="s">
        <v>384</v>
      </c>
    </row>
    <row r="57" spans="1:16" x14ac:dyDescent="0.35">
      <c r="A57" s="14">
        <v>46040</v>
      </c>
      <c r="B57" t="s">
        <v>113</v>
      </c>
      <c r="C57" t="s">
        <v>40</v>
      </c>
      <c r="D57" t="s">
        <v>41</v>
      </c>
      <c r="E57" t="s">
        <v>42</v>
      </c>
      <c r="F57">
        <v>2</v>
      </c>
      <c r="G57">
        <v>2770.02</v>
      </c>
      <c r="H57">
        <v>771</v>
      </c>
      <c r="I57">
        <v>8</v>
      </c>
      <c r="J57" t="s">
        <v>364</v>
      </c>
      <c r="K57" t="s">
        <v>366</v>
      </c>
      <c r="L57">
        <v>860</v>
      </c>
      <c r="M57" t="s">
        <v>383</v>
      </c>
      <c r="N57">
        <v>525.01</v>
      </c>
      <c r="O57">
        <v>1050.02</v>
      </c>
      <c r="P57" t="s">
        <v>385</v>
      </c>
    </row>
    <row r="58" spans="1:16" x14ac:dyDescent="0.35">
      <c r="A58" s="14">
        <v>46040</v>
      </c>
      <c r="B58" t="s">
        <v>114</v>
      </c>
      <c r="C58" t="s">
        <v>83</v>
      </c>
      <c r="D58" t="s">
        <v>84</v>
      </c>
      <c r="E58" t="s">
        <v>34</v>
      </c>
      <c r="F58">
        <v>1</v>
      </c>
      <c r="G58">
        <v>119</v>
      </c>
      <c r="H58">
        <v>1432</v>
      </c>
      <c r="I58">
        <v>14</v>
      </c>
      <c r="J58" t="s">
        <v>376</v>
      </c>
      <c r="K58" t="s">
        <v>377</v>
      </c>
      <c r="L58">
        <v>48</v>
      </c>
      <c r="M58" t="s">
        <v>383</v>
      </c>
      <c r="N58">
        <v>71</v>
      </c>
      <c r="O58">
        <v>71</v>
      </c>
      <c r="P58" t="s">
        <v>384</v>
      </c>
    </row>
    <row r="59" spans="1:16" x14ac:dyDescent="0.35">
      <c r="A59" s="14">
        <v>46040</v>
      </c>
      <c r="B59" t="s">
        <v>115</v>
      </c>
      <c r="C59" t="s">
        <v>79</v>
      </c>
      <c r="D59" t="s">
        <v>80</v>
      </c>
      <c r="E59" t="s">
        <v>42</v>
      </c>
      <c r="F59">
        <v>1</v>
      </c>
      <c r="G59">
        <v>444.51</v>
      </c>
      <c r="H59">
        <v>772</v>
      </c>
      <c r="I59">
        <v>10</v>
      </c>
      <c r="J59" t="s">
        <v>371</v>
      </c>
      <c r="K59" t="s">
        <v>369</v>
      </c>
      <c r="L59">
        <v>220</v>
      </c>
      <c r="M59" t="s">
        <v>383</v>
      </c>
      <c r="N59">
        <v>224.51</v>
      </c>
      <c r="O59">
        <v>224.51</v>
      </c>
      <c r="P59" t="s">
        <v>384</v>
      </c>
    </row>
    <row r="60" spans="1:16" x14ac:dyDescent="0.35">
      <c r="A60" s="14">
        <v>46041</v>
      </c>
      <c r="B60" t="s">
        <v>116</v>
      </c>
      <c r="C60" t="s">
        <v>55</v>
      </c>
      <c r="D60" t="s">
        <v>56</v>
      </c>
      <c r="E60" t="s">
        <v>42</v>
      </c>
      <c r="F60">
        <v>5</v>
      </c>
      <c r="G60">
        <v>440.55</v>
      </c>
      <c r="H60">
        <v>1374</v>
      </c>
      <c r="I60">
        <v>14</v>
      </c>
      <c r="J60" t="s">
        <v>376</v>
      </c>
      <c r="K60" t="s">
        <v>375</v>
      </c>
      <c r="L60">
        <v>34</v>
      </c>
      <c r="M60" t="s">
        <v>383</v>
      </c>
      <c r="N60">
        <v>54.11</v>
      </c>
      <c r="O60">
        <v>270.55</v>
      </c>
      <c r="P60" t="s">
        <v>384</v>
      </c>
    </row>
    <row r="61" spans="1:16" x14ac:dyDescent="0.35">
      <c r="A61" s="14">
        <v>46041</v>
      </c>
      <c r="B61" t="s">
        <v>117</v>
      </c>
      <c r="C61" t="s">
        <v>50</v>
      </c>
      <c r="D61" t="s">
        <v>51</v>
      </c>
      <c r="E61" t="s">
        <v>34</v>
      </c>
      <c r="F61">
        <v>10</v>
      </c>
      <c r="G61">
        <v>1290</v>
      </c>
      <c r="H61">
        <v>2550</v>
      </c>
      <c r="I61">
        <v>18</v>
      </c>
      <c r="J61" t="s">
        <v>373</v>
      </c>
      <c r="K61" t="s">
        <v>374</v>
      </c>
      <c r="L61">
        <v>58</v>
      </c>
      <c r="M61" t="s">
        <v>383</v>
      </c>
      <c r="N61">
        <v>71</v>
      </c>
      <c r="O61">
        <v>710</v>
      </c>
      <c r="P61" t="s">
        <v>384</v>
      </c>
    </row>
    <row r="62" spans="1:16" x14ac:dyDescent="0.35">
      <c r="A62" s="14">
        <v>46041</v>
      </c>
      <c r="B62" t="s">
        <v>118</v>
      </c>
      <c r="C62" t="s">
        <v>36</v>
      </c>
      <c r="D62" t="s">
        <v>37</v>
      </c>
      <c r="E62" t="s">
        <v>52</v>
      </c>
      <c r="F62">
        <v>6</v>
      </c>
      <c r="G62">
        <v>229.32</v>
      </c>
      <c r="H62">
        <v>2350</v>
      </c>
      <c r="I62">
        <v>18</v>
      </c>
      <c r="J62" t="s">
        <v>373</v>
      </c>
      <c r="K62" t="s">
        <v>375</v>
      </c>
      <c r="L62">
        <v>15</v>
      </c>
      <c r="M62" t="s">
        <v>383</v>
      </c>
      <c r="N62">
        <v>23.22</v>
      </c>
      <c r="O62">
        <v>139.32</v>
      </c>
      <c r="P62" t="s">
        <v>384</v>
      </c>
    </row>
    <row r="63" spans="1:16" x14ac:dyDescent="0.35">
      <c r="A63" s="14">
        <v>46042</v>
      </c>
      <c r="B63" t="s">
        <v>119</v>
      </c>
      <c r="C63" t="s">
        <v>73</v>
      </c>
      <c r="D63" t="s">
        <v>74</v>
      </c>
      <c r="E63" t="s">
        <v>42</v>
      </c>
      <c r="F63">
        <v>1</v>
      </c>
      <c r="G63">
        <v>989.01</v>
      </c>
      <c r="H63">
        <v>1034</v>
      </c>
      <c r="I63">
        <v>12</v>
      </c>
      <c r="J63" t="s">
        <v>367</v>
      </c>
      <c r="K63" t="s">
        <v>368</v>
      </c>
      <c r="L63">
        <v>640</v>
      </c>
      <c r="M63" t="s">
        <v>383</v>
      </c>
      <c r="N63">
        <v>349.01</v>
      </c>
      <c r="O63">
        <v>349.01</v>
      </c>
      <c r="P63" t="s">
        <v>384</v>
      </c>
    </row>
    <row r="64" spans="1:16" x14ac:dyDescent="0.35">
      <c r="A64" s="14">
        <v>46042</v>
      </c>
      <c r="B64" t="s">
        <v>120</v>
      </c>
      <c r="C64" t="s">
        <v>60</v>
      </c>
      <c r="D64" t="s">
        <v>61</v>
      </c>
      <c r="E64" t="s">
        <v>34</v>
      </c>
      <c r="F64">
        <v>2</v>
      </c>
      <c r="G64">
        <v>658</v>
      </c>
      <c r="H64">
        <v>802</v>
      </c>
      <c r="I64">
        <v>10</v>
      </c>
      <c r="J64" t="s">
        <v>371</v>
      </c>
      <c r="K64" t="s">
        <v>372</v>
      </c>
      <c r="L64">
        <v>155</v>
      </c>
      <c r="M64" t="s">
        <v>383</v>
      </c>
      <c r="N64">
        <v>174</v>
      </c>
      <c r="O64">
        <v>348</v>
      </c>
      <c r="P64" t="s">
        <v>384</v>
      </c>
    </row>
    <row r="65" spans="1:16" x14ac:dyDescent="0.35">
      <c r="A65" s="14">
        <v>46042</v>
      </c>
      <c r="B65" t="s">
        <v>121</v>
      </c>
      <c r="C65" t="s">
        <v>55</v>
      </c>
      <c r="D65" t="s">
        <v>56</v>
      </c>
      <c r="E65" t="s">
        <v>34</v>
      </c>
      <c r="F65">
        <v>4</v>
      </c>
      <c r="G65">
        <v>356</v>
      </c>
      <c r="H65">
        <v>1374</v>
      </c>
      <c r="I65">
        <v>14</v>
      </c>
      <c r="J65" t="s">
        <v>376</v>
      </c>
      <c r="K65" t="s">
        <v>375</v>
      </c>
      <c r="L65">
        <v>34</v>
      </c>
      <c r="M65" t="s">
        <v>383</v>
      </c>
      <c r="N65">
        <v>55</v>
      </c>
      <c r="O65">
        <v>220</v>
      </c>
      <c r="P65" t="s">
        <v>384</v>
      </c>
    </row>
    <row r="66" spans="1:16" x14ac:dyDescent="0.35">
      <c r="A66" s="14">
        <v>46042</v>
      </c>
      <c r="B66" t="s">
        <v>122</v>
      </c>
      <c r="C66" t="s">
        <v>79</v>
      </c>
      <c r="D66" t="s">
        <v>80</v>
      </c>
      <c r="E66" t="s">
        <v>42</v>
      </c>
      <c r="F66">
        <v>8</v>
      </c>
      <c r="G66">
        <v>3556.08</v>
      </c>
      <c r="H66">
        <v>772</v>
      </c>
      <c r="I66">
        <v>10</v>
      </c>
      <c r="J66" t="s">
        <v>371</v>
      </c>
      <c r="K66" t="s">
        <v>369</v>
      </c>
      <c r="L66">
        <v>220</v>
      </c>
      <c r="M66" t="s">
        <v>383</v>
      </c>
      <c r="N66">
        <v>224.51</v>
      </c>
      <c r="O66">
        <v>1796.08</v>
      </c>
      <c r="P66" t="s">
        <v>385</v>
      </c>
    </row>
    <row r="67" spans="1:16" x14ac:dyDescent="0.35">
      <c r="A67" s="14">
        <v>46043</v>
      </c>
      <c r="B67" t="s">
        <v>123</v>
      </c>
      <c r="C67" t="s">
        <v>50</v>
      </c>
      <c r="D67" t="s">
        <v>51</v>
      </c>
      <c r="E67" t="s">
        <v>38</v>
      </c>
      <c r="F67">
        <v>1</v>
      </c>
      <c r="G67">
        <v>130.29</v>
      </c>
      <c r="H67">
        <v>2550</v>
      </c>
      <c r="I67">
        <v>18</v>
      </c>
      <c r="J67" t="s">
        <v>373</v>
      </c>
      <c r="K67" t="s">
        <v>374</v>
      </c>
      <c r="L67">
        <v>58</v>
      </c>
      <c r="M67" t="s">
        <v>383</v>
      </c>
      <c r="N67">
        <v>72.289999999999992</v>
      </c>
      <c r="O67">
        <v>72.289999999999992</v>
      </c>
      <c r="P67" t="s">
        <v>384</v>
      </c>
    </row>
    <row r="68" spans="1:16" x14ac:dyDescent="0.35">
      <c r="A68" s="14">
        <v>46043</v>
      </c>
      <c r="B68" t="s">
        <v>124</v>
      </c>
      <c r="C68" t="s">
        <v>44</v>
      </c>
      <c r="D68" t="s">
        <v>45</v>
      </c>
      <c r="E68" t="s">
        <v>52</v>
      </c>
      <c r="F68">
        <v>3</v>
      </c>
      <c r="G68">
        <v>1614.06</v>
      </c>
      <c r="H68">
        <v>1008</v>
      </c>
      <c r="I68">
        <v>12</v>
      </c>
      <c r="J68" t="s">
        <v>367</v>
      </c>
      <c r="K68" t="s">
        <v>369</v>
      </c>
      <c r="L68">
        <v>280</v>
      </c>
      <c r="M68" t="s">
        <v>383</v>
      </c>
      <c r="N68">
        <v>258.02</v>
      </c>
      <c r="O68">
        <v>774.06</v>
      </c>
      <c r="P68" t="s">
        <v>384</v>
      </c>
    </row>
    <row r="69" spans="1:16" x14ac:dyDescent="0.35">
      <c r="A69" s="14">
        <v>46043</v>
      </c>
      <c r="B69" t="s">
        <v>125</v>
      </c>
      <c r="C69" t="s">
        <v>50</v>
      </c>
      <c r="D69" t="s">
        <v>51</v>
      </c>
      <c r="E69" t="s">
        <v>38</v>
      </c>
      <c r="F69">
        <v>1</v>
      </c>
      <c r="G69">
        <v>130.29</v>
      </c>
      <c r="H69">
        <v>2550</v>
      </c>
      <c r="I69">
        <v>18</v>
      </c>
      <c r="J69" t="s">
        <v>373</v>
      </c>
      <c r="K69" t="s">
        <v>374</v>
      </c>
      <c r="L69">
        <v>58</v>
      </c>
      <c r="M69" t="s">
        <v>383</v>
      </c>
      <c r="N69">
        <v>72.289999999999992</v>
      </c>
      <c r="O69">
        <v>72.289999999999992</v>
      </c>
      <c r="P69" t="s">
        <v>384</v>
      </c>
    </row>
    <row r="70" spans="1:16" x14ac:dyDescent="0.35">
      <c r="A70" s="14">
        <v>46043</v>
      </c>
      <c r="B70" t="s">
        <v>126</v>
      </c>
      <c r="C70" t="s">
        <v>50</v>
      </c>
      <c r="D70" t="s">
        <v>51</v>
      </c>
      <c r="E70" t="s">
        <v>42</v>
      </c>
      <c r="F70">
        <v>5</v>
      </c>
      <c r="G70">
        <v>638.54999999999995</v>
      </c>
      <c r="H70">
        <v>2550</v>
      </c>
      <c r="I70">
        <v>18</v>
      </c>
      <c r="J70" t="s">
        <v>373</v>
      </c>
      <c r="K70" t="s">
        <v>374</v>
      </c>
      <c r="L70">
        <v>58</v>
      </c>
      <c r="M70" t="s">
        <v>383</v>
      </c>
      <c r="N70">
        <v>69.709999999999994</v>
      </c>
      <c r="O70">
        <v>348.54999999999995</v>
      </c>
      <c r="P70" t="s">
        <v>384</v>
      </c>
    </row>
    <row r="71" spans="1:16" x14ac:dyDescent="0.35">
      <c r="A71" s="14">
        <v>46044</v>
      </c>
      <c r="B71" t="s">
        <v>127</v>
      </c>
      <c r="C71" t="s">
        <v>55</v>
      </c>
      <c r="D71" t="s">
        <v>56</v>
      </c>
      <c r="E71" t="s">
        <v>34</v>
      </c>
      <c r="F71">
        <v>1</v>
      </c>
      <c r="G71">
        <v>89</v>
      </c>
      <c r="H71">
        <v>1374</v>
      </c>
      <c r="I71">
        <v>14</v>
      </c>
      <c r="J71" t="s">
        <v>376</v>
      </c>
      <c r="K71" t="s">
        <v>375</v>
      </c>
      <c r="L71">
        <v>34</v>
      </c>
      <c r="M71" t="s">
        <v>383</v>
      </c>
      <c r="N71">
        <v>55</v>
      </c>
      <c r="O71">
        <v>55</v>
      </c>
      <c r="P71" t="s">
        <v>384</v>
      </c>
    </row>
    <row r="72" spans="1:16" x14ac:dyDescent="0.35">
      <c r="A72" s="14">
        <v>46044</v>
      </c>
      <c r="B72" t="s">
        <v>128</v>
      </c>
      <c r="C72" t="s">
        <v>47</v>
      </c>
      <c r="D72" t="s">
        <v>48</v>
      </c>
      <c r="E72" t="s">
        <v>38</v>
      </c>
      <c r="F72">
        <v>1</v>
      </c>
      <c r="G72">
        <v>59.59</v>
      </c>
      <c r="H72">
        <v>2442</v>
      </c>
      <c r="I72">
        <v>18</v>
      </c>
      <c r="J72" t="s">
        <v>373</v>
      </c>
      <c r="K72" t="s">
        <v>375</v>
      </c>
      <c r="L72">
        <v>22</v>
      </c>
      <c r="M72" t="s">
        <v>383</v>
      </c>
      <c r="N72">
        <v>37.590000000000003</v>
      </c>
      <c r="O72">
        <v>37.590000000000003</v>
      </c>
      <c r="P72" t="s">
        <v>384</v>
      </c>
    </row>
    <row r="73" spans="1:16" x14ac:dyDescent="0.35">
      <c r="A73" s="14">
        <v>46044</v>
      </c>
      <c r="B73" t="s">
        <v>129</v>
      </c>
      <c r="C73" t="s">
        <v>40</v>
      </c>
      <c r="D73" t="s">
        <v>41</v>
      </c>
      <c r="E73" t="s">
        <v>52</v>
      </c>
      <c r="F73">
        <v>1</v>
      </c>
      <c r="G73">
        <v>1371.02</v>
      </c>
      <c r="H73">
        <v>771</v>
      </c>
      <c r="I73">
        <v>8</v>
      </c>
      <c r="J73" t="s">
        <v>364</v>
      </c>
      <c r="K73" t="s">
        <v>366</v>
      </c>
      <c r="L73">
        <v>860</v>
      </c>
      <c r="M73" t="s">
        <v>383</v>
      </c>
      <c r="N73">
        <v>511.02</v>
      </c>
      <c r="O73">
        <v>511.02</v>
      </c>
      <c r="P73" t="s">
        <v>384</v>
      </c>
    </row>
    <row r="74" spans="1:16" x14ac:dyDescent="0.35">
      <c r="A74" s="14">
        <v>46045</v>
      </c>
      <c r="B74" t="s">
        <v>130</v>
      </c>
      <c r="C74" t="s">
        <v>47</v>
      </c>
      <c r="D74" t="s">
        <v>48</v>
      </c>
      <c r="E74" t="s">
        <v>42</v>
      </c>
      <c r="F74">
        <v>3</v>
      </c>
      <c r="G74">
        <v>175.23</v>
      </c>
      <c r="H74">
        <v>2442</v>
      </c>
      <c r="I74">
        <v>18</v>
      </c>
      <c r="J74" t="s">
        <v>373</v>
      </c>
      <c r="K74" t="s">
        <v>375</v>
      </c>
      <c r="L74">
        <v>22</v>
      </c>
      <c r="M74" t="s">
        <v>383</v>
      </c>
      <c r="N74">
        <v>36.409999999999997</v>
      </c>
      <c r="O74">
        <v>109.22999999999999</v>
      </c>
      <c r="P74" t="s">
        <v>384</v>
      </c>
    </row>
    <row r="75" spans="1:16" x14ac:dyDescent="0.35">
      <c r="A75" s="14">
        <v>46045</v>
      </c>
      <c r="B75" t="s">
        <v>131</v>
      </c>
      <c r="C75" t="s">
        <v>50</v>
      </c>
      <c r="D75" t="s">
        <v>51</v>
      </c>
      <c r="E75" t="s">
        <v>52</v>
      </c>
      <c r="F75">
        <v>1</v>
      </c>
      <c r="G75">
        <v>126.42</v>
      </c>
      <c r="H75">
        <v>2550</v>
      </c>
      <c r="I75">
        <v>18</v>
      </c>
      <c r="J75" t="s">
        <v>373</v>
      </c>
      <c r="K75" t="s">
        <v>374</v>
      </c>
      <c r="L75">
        <v>58</v>
      </c>
      <c r="M75" t="s">
        <v>383</v>
      </c>
      <c r="N75">
        <v>68.42</v>
      </c>
      <c r="O75">
        <v>68.42</v>
      </c>
      <c r="P75" t="s">
        <v>384</v>
      </c>
    </row>
    <row r="76" spans="1:16" x14ac:dyDescent="0.35">
      <c r="A76" s="14">
        <v>46045</v>
      </c>
      <c r="B76" t="s">
        <v>132</v>
      </c>
      <c r="C76" t="s">
        <v>36</v>
      </c>
      <c r="D76" t="s">
        <v>37</v>
      </c>
      <c r="E76" t="s">
        <v>34</v>
      </c>
      <c r="F76">
        <v>2</v>
      </c>
      <c r="G76">
        <v>78</v>
      </c>
      <c r="H76">
        <v>2350</v>
      </c>
      <c r="I76">
        <v>18</v>
      </c>
      <c r="J76" t="s">
        <v>373</v>
      </c>
      <c r="K76" t="s">
        <v>375</v>
      </c>
      <c r="L76">
        <v>15</v>
      </c>
      <c r="M76" t="s">
        <v>383</v>
      </c>
      <c r="N76">
        <v>24</v>
      </c>
      <c r="O76">
        <v>48</v>
      </c>
      <c r="P76" t="s">
        <v>384</v>
      </c>
    </row>
    <row r="77" spans="1:16" x14ac:dyDescent="0.35">
      <c r="A77" s="14">
        <v>46045</v>
      </c>
      <c r="B77" t="s">
        <v>133</v>
      </c>
      <c r="C77" t="s">
        <v>47</v>
      </c>
      <c r="D77" t="s">
        <v>48</v>
      </c>
      <c r="E77" t="s">
        <v>42</v>
      </c>
      <c r="F77">
        <v>2</v>
      </c>
      <c r="G77">
        <v>116.82</v>
      </c>
      <c r="H77">
        <v>2442</v>
      </c>
      <c r="I77">
        <v>18</v>
      </c>
      <c r="J77" t="s">
        <v>373</v>
      </c>
      <c r="K77" t="s">
        <v>375</v>
      </c>
      <c r="L77">
        <v>22</v>
      </c>
      <c r="M77" t="s">
        <v>383</v>
      </c>
      <c r="N77">
        <v>36.409999999999997</v>
      </c>
      <c r="O77">
        <v>72.819999999999993</v>
      </c>
      <c r="P77" t="s">
        <v>384</v>
      </c>
    </row>
    <row r="78" spans="1:16" x14ac:dyDescent="0.35">
      <c r="A78" s="14">
        <v>46046</v>
      </c>
      <c r="B78" t="s">
        <v>134</v>
      </c>
      <c r="C78" t="s">
        <v>32</v>
      </c>
      <c r="D78" t="s">
        <v>33</v>
      </c>
      <c r="E78" t="s">
        <v>42</v>
      </c>
      <c r="F78">
        <v>10</v>
      </c>
      <c r="G78">
        <v>11870.1</v>
      </c>
      <c r="H78">
        <v>707</v>
      </c>
      <c r="I78">
        <v>8</v>
      </c>
      <c r="J78" t="s">
        <v>364</v>
      </c>
      <c r="K78" t="s">
        <v>365</v>
      </c>
      <c r="L78">
        <v>720</v>
      </c>
      <c r="M78" t="s">
        <v>383</v>
      </c>
      <c r="N78">
        <v>467.01</v>
      </c>
      <c r="O78">
        <v>4670.1000000000004</v>
      </c>
      <c r="P78" t="s">
        <v>385</v>
      </c>
    </row>
    <row r="79" spans="1:16" x14ac:dyDescent="0.35">
      <c r="A79" s="14">
        <v>46046</v>
      </c>
      <c r="B79" t="s">
        <v>135</v>
      </c>
      <c r="C79" t="s">
        <v>55</v>
      </c>
      <c r="D79" t="s">
        <v>56</v>
      </c>
      <c r="E79" t="s">
        <v>34</v>
      </c>
      <c r="F79">
        <v>1</v>
      </c>
      <c r="G79">
        <v>89</v>
      </c>
      <c r="H79">
        <v>1374</v>
      </c>
      <c r="I79">
        <v>14</v>
      </c>
      <c r="J79" t="s">
        <v>376</v>
      </c>
      <c r="K79" t="s">
        <v>375</v>
      </c>
      <c r="L79">
        <v>34</v>
      </c>
      <c r="M79" t="s">
        <v>383</v>
      </c>
      <c r="N79">
        <v>55</v>
      </c>
      <c r="O79">
        <v>55</v>
      </c>
      <c r="P79" t="s">
        <v>384</v>
      </c>
    </row>
    <row r="80" spans="1:16" x14ac:dyDescent="0.35">
      <c r="A80" s="14">
        <v>46046</v>
      </c>
      <c r="B80" t="s">
        <v>136</v>
      </c>
      <c r="C80" t="s">
        <v>44</v>
      </c>
      <c r="D80" t="s">
        <v>45</v>
      </c>
      <c r="E80" t="s">
        <v>52</v>
      </c>
      <c r="F80">
        <v>5</v>
      </c>
      <c r="G80">
        <v>2690.1</v>
      </c>
      <c r="H80">
        <v>1008</v>
      </c>
      <c r="I80">
        <v>12</v>
      </c>
      <c r="J80" t="s">
        <v>367</v>
      </c>
      <c r="K80" t="s">
        <v>369</v>
      </c>
      <c r="L80">
        <v>280</v>
      </c>
      <c r="M80" t="s">
        <v>383</v>
      </c>
      <c r="N80">
        <v>258.02</v>
      </c>
      <c r="O80">
        <v>1290.0999999999999</v>
      </c>
      <c r="P80" t="s">
        <v>385</v>
      </c>
    </row>
    <row r="81" spans="1:16" x14ac:dyDescent="0.35">
      <c r="A81" s="14">
        <v>46047</v>
      </c>
      <c r="B81" t="s">
        <v>137</v>
      </c>
      <c r="C81" t="s">
        <v>60</v>
      </c>
      <c r="D81" t="s">
        <v>61</v>
      </c>
      <c r="E81" t="s">
        <v>34</v>
      </c>
      <c r="F81">
        <v>5</v>
      </c>
      <c r="G81">
        <v>1645</v>
      </c>
      <c r="H81">
        <v>802</v>
      </c>
      <c r="I81">
        <v>10</v>
      </c>
      <c r="J81" t="s">
        <v>371</v>
      </c>
      <c r="K81" t="s">
        <v>372</v>
      </c>
      <c r="L81">
        <v>155</v>
      </c>
      <c r="M81" t="s">
        <v>383</v>
      </c>
      <c r="N81">
        <v>174</v>
      </c>
      <c r="O81">
        <v>870</v>
      </c>
      <c r="P81" t="s">
        <v>384</v>
      </c>
    </row>
    <row r="82" spans="1:16" x14ac:dyDescent="0.35">
      <c r="A82" s="14">
        <v>46047</v>
      </c>
      <c r="B82" t="s">
        <v>138</v>
      </c>
      <c r="C82" t="s">
        <v>47</v>
      </c>
      <c r="D82" t="s">
        <v>48</v>
      </c>
      <c r="E82" t="s">
        <v>38</v>
      </c>
      <c r="F82">
        <v>10</v>
      </c>
      <c r="G82">
        <v>595.9</v>
      </c>
      <c r="H82">
        <v>2442</v>
      </c>
      <c r="I82">
        <v>18</v>
      </c>
      <c r="J82" t="s">
        <v>373</v>
      </c>
      <c r="K82" t="s">
        <v>375</v>
      </c>
      <c r="L82">
        <v>22</v>
      </c>
      <c r="M82" t="s">
        <v>383</v>
      </c>
      <c r="N82">
        <v>37.589999999999996</v>
      </c>
      <c r="O82">
        <v>375.9</v>
      </c>
      <c r="P82" t="s">
        <v>384</v>
      </c>
    </row>
    <row r="83" spans="1:16" x14ac:dyDescent="0.35">
      <c r="A83" s="14">
        <v>46047</v>
      </c>
      <c r="B83" t="s">
        <v>139</v>
      </c>
      <c r="C83" t="s">
        <v>47</v>
      </c>
      <c r="D83" t="s">
        <v>48</v>
      </c>
      <c r="E83" t="s">
        <v>34</v>
      </c>
      <c r="F83">
        <v>4</v>
      </c>
      <c r="G83">
        <v>236</v>
      </c>
      <c r="H83">
        <v>2442</v>
      </c>
      <c r="I83">
        <v>18</v>
      </c>
      <c r="J83" t="s">
        <v>373</v>
      </c>
      <c r="K83" t="s">
        <v>375</v>
      </c>
      <c r="L83">
        <v>22</v>
      </c>
      <c r="M83" t="s">
        <v>383</v>
      </c>
      <c r="N83">
        <v>37</v>
      </c>
      <c r="O83">
        <v>148</v>
      </c>
      <c r="P83" t="s">
        <v>384</v>
      </c>
    </row>
    <row r="84" spans="1:16" x14ac:dyDescent="0.35">
      <c r="A84" s="14">
        <v>46048</v>
      </c>
      <c r="B84" t="s">
        <v>140</v>
      </c>
      <c r="C84" t="s">
        <v>47</v>
      </c>
      <c r="D84" t="s">
        <v>48</v>
      </c>
      <c r="E84" t="s">
        <v>52</v>
      </c>
      <c r="F84">
        <v>1</v>
      </c>
      <c r="G84">
        <v>57.82</v>
      </c>
      <c r="H84">
        <v>2442</v>
      </c>
      <c r="I84">
        <v>18</v>
      </c>
      <c r="J84" t="s">
        <v>373</v>
      </c>
      <c r="K84" t="s">
        <v>375</v>
      </c>
      <c r="L84">
        <v>22</v>
      </c>
      <c r="M84" t="s">
        <v>383</v>
      </c>
      <c r="N84">
        <v>35.82</v>
      </c>
      <c r="O84">
        <v>35.82</v>
      </c>
      <c r="P84" t="s">
        <v>384</v>
      </c>
    </row>
    <row r="85" spans="1:16" x14ac:dyDescent="0.35">
      <c r="A85" s="14">
        <v>46048</v>
      </c>
      <c r="B85" t="s">
        <v>141</v>
      </c>
      <c r="C85" t="s">
        <v>40</v>
      </c>
      <c r="D85" t="s">
        <v>41</v>
      </c>
      <c r="E85" t="s">
        <v>34</v>
      </c>
      <c r="F85">
        <v>3</v>
      </c>
      <c r="G85">
        <v>4197</v>
      </c>
      <c r="H85">
        <v>771</v>
      </c>
      <c r="I85">
        <v>8</v>
      </c>
      <c r="J85" t="s">
        <v>364</v>
      </c>
      <c r="K85" t="s">
        <v>366</v>
      </c>
      <c r="L85">
        <v>860</v>
      </c>
      <c r="M85" t="s">
        <v>383</v>
      </c>
      <c r="N85">
        <v>539</v>
      </c>
      <c r="O85">
        <v>1617</v>
      </c>
      <c r="P85" t="s">
        <v>385</v>
      </c>
    </row>
    <row r="86" spans="1:16" x14ac:dyDescent="0.35">
      <c r="A86" s="14">
        <v>46048</v>
      </c>
      <c r="B86" t="s">
        <v>142</v>
      </c>
      <c r="C86" t="s">
        <v>44</v>
      </c>
      <c r="D86" t="s">
        <v>45</v>
      </c>
      <c r="E86" t="s">
        <v>38</v>
      </c>
      <c r="F86">
        <v>4</v>
      </c>
      <c r="G86">
        <v>2217.96</v>
      </c>
      <c r="H86">
        <v>1008</v>
      </c>
      <c r="I86">
        <v>12</v>
      </c>
      <c r="J86" t="s">
        <v>367</v>
      </c>
      <c r="K86" t="s">
        <v>369</v>
      </c>
      <c r="L86">
        <v>280</v>
      </c>
      <c r="M86" t="s">
        <v>383</v>
      </c>
      <c r="N86">
        <v>274.49</v>
      </c>
      <c r="O86">
        <v>1097.96</v>
      </c>
      <c r="P86" t="s">
        <v>385</v>
      </c>
    </row>
    <row r="87" spans="1:16" x14ac:dyDescent="0.35">
      <c r="A87" s="14">
        <v>46049</v>
      </c>
      <c r="B87" t="s">
        <v>143</v>
      </c>
      <c r="C87" t="s">
        <v>47</v>
      </c>
      <c r="D87" t="s">
        <v>48</v>
      </c>
      <c r="E87" t="s">
        <v>34</v>
      </c>
      <c r="F87">
        <v>2</v>
      </c>
      <c r="G87">
        <v>118</v>
      </c>
      <c r="H87">
        <v>2442</v>
      </c>
      <c r="I87">
        <v>18</v>
      </c>
      <c r="J87" t="s">
        <v>373</v>
      </c>
      <c r="K87" t="s">
        <v>375</v>
      </c>
      <c r="L87">
        <v>22</v>
      </c>
      <c r="M87" t="s">
        <v>383</v>
      </c>
      <c r="N87">
        <v>37</v>
      </c>
      <c r="O87">
        <v>74</v>
      </c>
      <c r="P87" t="s">
        <v>384</v>
      </c>
    </row>
    <row r="88" spans="1:16" x14ac:dyDescent="0.35">
      <c r="A88" s="14">
        <v>46049</v>
      </c>
      <c r="B88" t="s">
        <v>144</v>
      </c>
      <c r="C88" t="s">
        <v>83</v>
      </c>
      <c r="D88" t="s">
        <v>84</v>
      </c>
      <c r="E88" t="s">
        <v>52</v>
      </c>
      <c r="F88">
        <v>1</v>
      </c>
      <c r="G88">
        <v>116.62</v>
      </c>
      <c r="H88">
        <v>1432</v>
      </c>
      <c r="I88">
        <v>14</v>
      </c>
      <c r="J88" t="s">
        <v>376</v>
      </c>
      <c r="K88" t="s">
        <v>377</v>
      </c>
      <c r="L88">
        <v>48</v>
      </c>
      <c r="M88" t="s">
        <v>383</v>
      </c>
      <c r="N88">
        <v>68.62</v>
      </c>
      <c r="O88">
        <v>68.62</v>
      </c>
      <c r="P88" t="s">
        <v>384</v>
      </c>
    </row>
    <row r="89" spans="1:16" x14ac:dyDescent="0.35">
      <c r="A89" s="14">
        <v>46049</v>
      </c>
      <c r="B89" t="s">
        <v>145</v>
      </c>
      <c r="C89" t="s">
        <v>60</v>
      </c>
      <c r="D89" t="s">
        <v>61</v>
      </c>
      <c r="E89" t="s">
        <v>34</v>
      </c>
      <c r="F89">
        <v>1</v>
      </c>
      <c r="G89">
        <v>329</v>
      </c>
      <c r="H89">
        <v>802</v>
      </c>
      <c r="I89">
        <v>10</v>
      </c>
      <c r="J89" t="s">
        <v>371</v>
      </c>
      <c r="K89" t="s">
        <v>372</v>
      </c>
      <c r="L89">
        <v>155</v>
      </c>
      <c r="M89" t="s">
        <v>383</v>
      </c>
      <c r="N89">
        <v>174</v>
      </c>
      <c r="O89">
        <v>174</v>
      </c>
      <c r="P89" t="s">
        <v>384</v>
      </c>
    </row>
    <row r="90" spans="1:16" x14ac:dyDescent="0.35">
      <c r="A90" s="14">
        <v>46050</v>
      </c>
      <c r="B90" t="s">
        <v>146</v>
      </c>
      <c r="C90" t="s">
        <v>47</v>
      </c>
      <c r="D90" t="s">
        <v>48</v>
      </c>
      <c r="E90" t="s">
        <v>34</v>
      </c>
      <c r="F90">
        <v>4</v>
      </c>
      <c r="G90">
        <v>236</v>
      </c>
      <c r="H90">
        <v>2442</v>
      </c>
      <c r="I90">
        <v>18</v>
      </c>
      <c r="J90" t="s">
        <v>373</v>
      </c>
      <c r="K90" t="s">
        <v>375</v>
      </c>
      <c r="L90">
        <v>22</v>
      </c>
      <c r="M90" t="s">
        <v>383</v>
      </c>
      <c r="N90">
        <v>37</v>
      </c>
      <c r="O90">
        <v>148</v>
      </c>
      <c r="P90" t="s">
        <v>384</v>
      </c>
    </row>
    <row r="91" spans="1:16" x14ac:dyDescent="0.35">
      <c r="A91" s="14">
        <v>46050</v>
      </c>
      <c r="B91" t="s">
        <v>147</v>
      </c>
      <c r="C91" t="s">
        <v>50</v>
      </c>
      <c r="D91" t="s">
        <v>51</v>
      </c>
      <c r="E91" t="s">
        <v>42</v>
      </c>
      <c r="F91">
        <v>1</v>
      </c>
      <c r="G91">
        <v>127.71</v>
      </c>
      <c r="H91">
        <v>2550</v>
      </c>
      <c r="I91">
        <v>18</v>
      </c>
      <c r="J91" t="s">
        <v>373</v>
      </c>
      <c r="K91" t="s">
        <v>374</v>
      </c>
      <c r="L91">
        <v>58</v>
      </c>
      <c r="M91" t="s">
        <v>383</v>
      </c>
      <c r="N91">
        <v>69.709999999999994</v>
      </c>
      <c r="O91">
        <v>69.709999999999994</v>
      </c>
      <c r="P91" t="s">
        <v>384</v>
      </c>
    </row>
    <row r="92" spans="1:16" x14ac:dyDescent="0.35">
      <c r="A92" s="14">
        <v>46050</v>
      </c>
      <c r="B92" t="s">
        <v>148</v>
      </c>
      <c r="C92" t="s">
        <v>32</v>
      </c>
      <c r="D92" t="s">
        <v>33</v>
      </c>
      <c r="E92" t="s">
        <v>52</v>
      </c>
      <c r="F92">
        <v>6</v>
      </c>
      <c r="G92">
        <v>7050.12</v>
      </c>
      <c r="H92">
        <v>707</v>
      </c>
      <c r="I92">
        <v>8</v>
      </c>
      <c r="J92" t="s">
        <v>364</v>
      </c>
      <c r="K92" t="s">
        <v>365</v>
      </c>
      <c r="L92">
        <v>720</v>
      </c>
      <c r="M92" t="s">
        <v>383</v>
      </c>
      <c r="N92">
        <v>455.02</v>
      </c>
      <c r="O92">
        <v>2730.12</v>
      </c>
      <c r="P92" t="s">
        <v>385</v>
      </c>
    </row>
    <row r="93" spans="1:16" x14ac:dyDescent="0.35">
      <c r="A93" s="14">
        <v>46050</v>
      </c>
      <c r="B93" t="s">
        <v>149</v>
      </c>
      <c r="C93" t="s">
        <v>50</v>
      </c>
      <c r="D93" t="s">
        <v>51</v>
      </c>
      <c r="E93" t="s">
        <v>52</v>
      </c>
      <c r="F93">
        <v>3</v>
      </c>
      <c r="G93">
        <v>379.26</v>
      </c>
      <c r="H93">
        <v>2550</v>
      </c>
      <c r="I93">
        <v>18</v>
      </c>
      <c r="J93" t="s">
        <v>373</v>
      </c>
      <c r="K93" t="s">
        <v>374</v>
      </c>
      <c r="L93">
        <v>58</v>
      </c>
      <c r="M93" t="s">
        <v>383</v>
      </c>
      <c r="N93">
        <v>68.42</v>
      </c>
      <c r="O93">
        <v>205.26</v>
      </c>
      <c r="P93" t="s">
        <v>384</v>
      </c>
    </row>
    <row r="94" spans="1:16" x14ac:dyDescent="0.35">
      <c r="A94" s="14">
        <v>46051</v>
      </c>
      <c r="B94" t="s">
        <v>150</v>
      </c>
      <c r="C94" t="s">
        <v>73</v>
      </c>
      <c r="D94" t="s">
        <v>74</v>
      </c>
      <c r="E94" t="s">
        <v>42</v>
      </c>
      <c r="F94">
        <v>5</v>
      </c>
      <c r="G94">
        <v>4945.05</v>
      </c>
      <c r="H94">
        <v>1034</v>
      </c>
      <c r="I94">
        <v>12</v>
      </c>
      <c r="J94" t="s">
        <v>367</v>
      </c>
      <c r="K94" t="s">
        <v>368</v>
      </c>
      <c r="L94">
        <v>640</v>
      </c>
      <c r="M94" t="s">
        <v>383</v>
      </c>
      <c r="N94">
        <v>349.01</v>
      </c>
      <c r="O94">
        <v>1745.0500000000002</v>
      </c>
      <c r="P94" t="s">
        <v>385</v>
      </c>
    </row>
    <row r="95" spans="1:16" x14ac:dyDescent="0.35">
      <c r="A95" s="14">
        <v>46051</v>
      </c>
      <c r="B95" t="s">
        <v>151</v>
      </c>
      <c r="C95" t="s">
        <v>36</v>
      </c>
      <c r="D95" t="s">
        <v>37</v>
      </c>
      <c r="E95" t="s">
        <v>52</v>
      </c>
      <c r="F95">
        <v>5</v>
      </c>
      <c r="G95">
        <v>191.1</v>
      </c>
      <c r="H95">
        <v>2350</v>
      </c>
      <c r="I95">
        <v>18</v>
      </c>
      <c r="J95" t="s">
        <v>373</v>
      </c>
      <c r="K95" t="s">
        <v>375</v>
      </c>
      <c r="L95">
        <v>15</v>
      </c>
      <c r="M95" t="s">
        <v>383</v>
      </c>
      <c r="N95">
        <v>23.22</v>
      </c>
      <c r="O95">
        <v>116.1</v>
      </c>
      <c r="P95" t="s">
        <v>384</v>
      </c>
    </row>
    <row r="96" spans="1:16" x14ac:dyDescent="0.35">
      <c r="A96" s="14">
        <v>46051</v>
      </c>
      <c r="B96" t="s">
        <v>152</v>
      </c>
      <c r="C96" t="s">
        <v>73</v>
      </c>
      <c r="D96" t="s">
        <v>74</v>
      </c>
      <c r="E96" t="s">
        <v>34</v>
      </c>
      <c r="F96">
        <v>1</v>
      </c>
      <c r="G96">
        <v>999</v>
      </c>
      <c r="H96">
        <v>1034</v>
      </c>
      <c r="I96">
        <v>12</v>
      </c>
      <c r="J96" t="s">
        <v>367</v>
      </c>
      <c r="K96" t="s">
        <v>368</v>
      </c>
      <c r="L96">
        <v>640</v>
      </c>
      <c r="M96" t="s">
        <v>383</v>
      </c>
      <c r="N96">
        <v>359</v>
      </c>
      <c r="O96">
        <v>359</v>
      </c>
      <c r="P96" t="s">
        <v>384</v>
      </c>
    </row>
    <row r="97" spans="1:16" x14ac:dyDescent="0.35">
      <c r="A97" s="14">
        <v>46052</v>
      </c>
      <c r="B97" t="s">
        <v>153</v>
      </c>
      <c r="C97" t="s">
        <v>83</v>
      </c>
      <c r="D97" t="s">
        <v>84</v>
      </c>
      <c r="E97" t="s">
        <v>42</v>
      </c>
      <c r="F97">
        <v>3</v>
      </c>
      <c r="G97">
        <v>353.43</v>
      </c>
      <c r="H97">
        <v>1432</v>
      </c>
      <c r="I97">
        <v>14</v>
      </c>
      <c r="J97" t="s">
        <v>376</v>
      </c>
      <c r="K97" t="s">
        <v>377</v>
      </c>
      <c r="L97">
        <v>48</v>
      </c>
      <c r="M97" t="s">
        <v>383</v>
      </c>
      <c r="N97">
        <v>69.81</v>
      </c>
      <c r="O97">
        <v>209.43</v>
      </c>
      <c r="P97" t="s">
        <v>384</v>
      </c>
    </row>
    <row r="98" spans="1:16" x14ac:dyDescent="0.35">
      <c r="A98" s="14">
        <v>46052</v>
      </c>
      <c r="B98" t="s">
        <v>154</v>
      </c>
      <c r="C98" t="s">
        <v>73</v>
      </c>
      <c r="D98" t="s">
        <v>74</v>
      </c>
      <c r="E98" t="s">
        <v>52</v>
      </c>
      <c r="F98">
        <v>5</v>
      </c>
      <c r="G98">
        <v>4895.1000000000004</v>
      </c>
      <c r="H98">
        <v>1034</v>
      </c>
      <c r="I98">
        <v>12</v>
      </c>
      <c r="J98" t="s">
        <v>367</v>
      </c>
      <c r="K98" t="s">
        <v>368</v>
      </c>
      <c r="L98">
        <v>640</v>
      </c>
      <c r="M98" t="s">
        <v>383</v>
      </c>
      <c r="N98">
        <v>339.0200000000001</v>
      </c>
      <c r="O98">
        <v>1695.1000000000004</v>
      </c>
      <c r="P98" t="s">
        <v>385</v>
      </c>
    </row>
    <row r="99" spans="1:16" x14ac:dyDescent="0.35">
      <c r="A99" s="14">
        <v>46052</v>
      </c>
      <c r="B99" t="s">
        <v>155</v>
      </c>
      <c r="C99" t="s">
        <v>55</v>
      </c>
      <c r="D99" t="s">
        <v>56</v>
      </c>
      <c r="E99" t="s">
        <v>52</v>
      </c>
      <c r="F99">
        <v>5</v>
      </c>
      <c r="G99">
        <v>436.1</v>
      </c>
      <c r="H99">
        <v>1374</v>
      </c>
      <c r="I99">
        <v>14</v>
      </c>
      <c r="J99" t="s">
        <v>376</v>
      </c>
      <c r="K99" t="s">
        <v>375</v>
      </c>
      <c r="L99">
        <v>34</v>
      </c>
      <c r="M99" t="s">
        <v>383</v>
      </c>
      <c r="N99">
        <v>53.22</v>
      </c>
      <c r="O99">
        <v>266.10000000000002</v>
      </c>
      <c r="P99" t="s">
        <v>384</v>
      </c>
    </row>
    <row r="100" spans="1:16" x14ac:dyDescent="0.35">
      <c r="A100" s="14">
        <v>46052</v>
      </c>
      <c r="B100" t="s">
        <v>156</v>
      </c>
      <c r="C100" t="s">
        <v>32</v>
      </c>
      <c r="D100" t="s">
        <v>33</v>
      </c>
      <c r="E100" t="s">
        <v>38</v>
      </c>
      <c r="F100">
        <v>2</v>
      </c>
      <c r="G100">
        <v>2421.98</v>
      </c>
      <c r="H100">
        <v>707</v>
      </c>
      <c r="I100">
        <v>8</v>
      </c>
      <c r="J100" t="s">
        <v>364</v>
      </c>
      <c r="K100" t="s">
        <v>365</v>
      </c>
      <c r="L100">
        <v>720</v>
      </c>
      <c r="M100" t="s">
        <v>383</v>
      </c>
      <c r="N100">
        <v>490.99</v>
      </c>
      <c r="O100">
        <v>981.98</v>
      </c>
      <c r="P100" t="s">
        <v>385</v>
      </c>
    </row>
    <row r="101" spans="1:16" x14ac:dyDescent="0.35">
      <c r="A101" s="14">
        <v>46053</v>
      </c>
      <c r="B101" t="s">
        <v>157</v>
      </c>
      <c r="C101" t="s">
        <v>36</v>
      </c>
      <c r="D101" t="s">
        <v>37</v>
      </c>
      <c r="E101" t="s">
        <v>52</v>
      </c>
      <c r="F101">
        <v>4</v>
      </c>
      <c r="G101">
        <v>152.88</v>
      </c>
      <c r="H101">
        <v>2350</v>
      </c>
      <c r="I101">
        <v>18</v>
      </c>
      <c r="J101" t="s">
        <v>373</v>
      </c>
      <c r="K101" t="s">
        <v>375</v>
      </c>
      <c r="L101">
        <v>15</v>
      </c>
      <c r="M101" t="s">
        <v>383</v>
      </c>
      <c r="N101">
        <v>23.22</v>
      </c>
      <c r="O101">
        <v>92.88</v>
      </c>
      <c r="P101" t="s">
        <v>384</v>
      </c>
    </row>
    <row r="102" spans="1:16" x14ac:dyDescent="0.35">
      <c r="A102" s="14">
        <v>46053</v>
      </c>
      <c r="B102" t="s">
        <v>158</v>
      </c>
      <c r="C102" t="s">
        <v>44</v>
      </c>
      <c r="D102" t="s">
        <v>45</v>
      </c>
      <c r="E102" t="s">
        <v>52</v>
      </c>
      <c r="F102">
        <v>1</v>
      </c>
      <c r="G102">
        <v>538.02</v>
      </c>
      <c r="H102">
        <v>1008</v>
      </c>
      <c r="I102">
        <v>12</v>
      </c>
      <c r="J102" t="s">
        <v>367</v>
      </c>
      <c r="K102" t="s">
        <v>369</v>
      </c>
      <c r="L102">
        <v>280</v>
      </c>
      <c r="M102" t="s">
        <v>383</v>
      </c>
      <c r="N102">
        <v>258.02</v>
      </c>
      <c r="O102">
        <v>258.02</v>
      </c>
      <c r="P102" t="s">
        <v>384</v>
      </c>
    </row>
    <row r="103" spans="1:16" x14ac:dyDescent="0.35">
      <c r="A103" s="14">
        <v>46053</v>
      </c>
      <c r="B103" t="s">
        <v>159</v>
      </c>
      <c r="C103" t="s">
        <v>83</v>
      </c>
      <c r="D103" t="s">
        <v>84</v>
      </c>
      <c r="E103" t="s">
        <v>52</v>
      </c>
      <c r="F103">
        <v>1</v>
      </c>
      <c r="G103">
        <v>116.62</v>
      </c>
      <c r="H103">
        <v>1432</v>
      </c>
      <c r="I103">
        <v>14</v>
      </c>
      <c r="J103" t="s">
        <v>376</v>
      </c>
      <c r="K103" t="s">
        <v>377</v>
      </c>
      <c r="L103">
        <v>48</v>
      </c>
      <c r="M103" t="s">
        <v>383</v>
      </c>
      <c r="N103">
        <v>68.62</v>
      </c>
      <c r="O103">
        <v>68.62</v>
      </c>
      <c r="P103" t="s">
        <v>384</v>
      </c>
    </row>
    <row r="104" spans="1:16" x14ac:dyDescent="0.35">
      <c r="A104" s="14">
        <v>46054</v>
      </c>
      <c r="B104" t="s">
        <v>160</v>
      </c>
      <c r="C104" t="s">
        <v>79</v>
      </c>
      <c r="D104" t="s">
        <v>80</v>
      </c>
      <c r="E104" t="s">
        <v>42</v>
      </c>
      <c r="F104">
        <v>4</v>
      </c>
      <c r="G104">
        <v>1778.04</v>
      </c>
      <c r="H104">
        <v>772</v>
      </c>
      <c r="I104">
        <v>10</v>
      </c>
      <c r="J104" t="s">
        <v>371</v>
      </c>
      <c r="K104" t="s">
        <v>369</v>
      </c>
      <c r="L104">
        <v>220</v>
      </c>
      <c r="M104" t="s">
        <v>383</v>
      </c>
      <c r="N104">
        <v>224.51</v>
      </c>
      <c r="O104">
        <v>898.04</v>
      </c>
      <c r="P104" t="s">
        <v>384</v>
      </c>
    </row>
    <row r="105" spans="1:16" x14ac:dyDescent="0.35">
      <c r="A105" s="14">
        <v>46054</v>
      </c>
      <c r="B105" t="s">
        <v>161</v>
      </c>
      <c r="C105" t="s">
        <v>44</v>
      </c>
      <c r="D105" t="s">
        <v>45</v>
      </c>
      <c r="E105" t="s">
        <v>34</v>
      </c>
      <c r="F105">
        <v>1</v>
      </c>
      <c r="G105">
        <v>549</v>
      </c>
      <c r="H105">
        <v>1008</v>
      </c>
      <c r="I105">
        <v>12</v>
      </c>
      <c r="J105" t="s">
        <v>367</v>
      </c>
      <c r="K105" t="s">
        <v>369</v>
      </c>
      <c r="L105">
        <v>280</v>
      </c>
      <c r="M105" t="s">
        <v>383</v>
      </c>
      <c r="N105">
        <v>269</v>
      </c>
      <c r="O105">
        <v>269</v>
      </c>
      <c r="P105" t="s">
        <v>384</v>
      </c>
    </row>
    <row r="106" spans="1:16" x14ac:dyDescent="0.35">
      <c r="A106" s="14">
        <v>46054</v>
      </c>
      <c r="B106" t="s">
        <v>162</v>
      </c>
      <c r="C106" t="s">
        <v>76</v>
      </c>
      <c r="D106" t="s">
        <v>77</v>
      </c>
      <c r="E106" t="s">
        <v>52</v>
      </c>
      <c r="F106">
        <v>8</v>
      </c>
      <c r="G106">
        <v>5480.16</v>
      </c>
      <c r="H106">
        <v>578</v>
      </c>
      <c r="I106">
        <v>7</v>
      </c>
      <c r="J106" t="s">
        <v>370</v>
      </c>
      <c r="K106" t="s">
        <v>368</v>
      </c>
      <c r="L106">
        <v>360</v>
      </c>
      <c r="M106" t="s">
        <v>383</v>
      </c>
      <c r="N106">
        <v>325.02</v>
      </c>
      <c r="O106">
        <v>2600.16</v>
      </c>
      <c r="P106" t="s">
        <v>385</v>
      </c>
    </row>
    <row r="107" spans="1:16" x14ac:dyDescent="0.35">
      <c r="A107" s="14">
        <v>46055</v>
      </c>
      <c r="B107" t="s">
        <v>163</v>
      </c>
      <c r="C107" t="s">
        <v>47</v>
      </c>
      <c r="D107" t="s">
        <v>48</v>
      </c>
      <c r="E107" t="s">
        <v>42</v>
      </c>
      <c r="F107">
        <v>10</v>
      </c>
      <c r="G107">
        <v>584.1</v>
      </c>
      <c r="H107">
        <v>2442</v>
      </c>
      <c r="I107">
        <v>18</v>
      </c>
      <c r="J107" t="s">
        <v>373</v>
      </c>
      <c r="K107" t="s">
        <v>375</v>
      </c>
      <c r="L107">
        <v>22</v>
      </c>
      <c r="M107" t="s">
        <v>383</v>
      </c>
      <c r="N107">
        <v>36.410000000000004</v>
      </c>
      <c r="O107">
        <v>364.1</v>
      </c>
      <c r="P107" t="s">
        <v>384</v>
      </c>
    </row>
    <row r="108" spans="1:16" x14ac:dyDescent="0.35">
      <c r="A108" s="14">
        <v>46055</v>
      </c>
      <c r="B108" t="s">
        <v>164</v>
      </c>
      <c r="C108" t="s">
        <v>50</v>
      </c>
      <c r="D108" t="s">
        <v>51</v>
      </c>
      <c r="E108" t="s">
        <v>52</v>
      </c>
      <c r="F108">
        <v>1</v>
      </c>
      <c r="G108">
        <v>126.42</v>
      </c>
      <c r="H108">
        <v>2550</v>
      </c>
      <c r="I108">
        <v>18</v>
      </c>
      <c r="J108" t="s">
        <v>373</v>
      </c>
      <c r="K108" t="s">
        <v>374</v>
      </c>
      <c r="L108">
        <v>58</v>
      </c>
      <c r="M108" t="s">
        <v>383</v>
      </c>
      <c r="N108">
        <v>68.42</v>
      </c>
      <c r="O108">
        <v>68.42</v>
      </c>
      <c r="P108" t="s">
        <v>384</v>
      </c>
    </row>
    <row r="109" spans="1:16" x14ac:dyDescent="0.35">
      <c r="A109" s="14">
        <v>46055</v>
      </c>
      <c r="B109" t="s">
        <v>165</v>
      </c>
      <c r="C109" t="s">
        <v>55</v>
      </c>
      <c r="D109" t="s">
        <v>56</v>
      </c>
      <c r="E109" t="s">
        <v>34</v>
      </c>
      <c r="F109">
        <v>8</v>
      </c>
      <c r="G109">
        <v>712</v>
      </c>
      <c r="H109">
        <v>1374</v>
      </c>
      <c r="I109">
        <v>14</v>
      </c>
      <c r="J109" t="s">
        <v>376</v>
      </c>
      <c r="K109" t="s">
        <v>375</v>
      </c>
      <c r="L109">
        <v>34</v>
      </c>
      <c r="M109" t="s">
        <v>383</v>
      </c>
      <c r="N109">
        <v>55</v>
      </c>
      <c r="O109">
        <v>440</v>
      </c>
      <c r="P109" t="s">
        <v>384</v>
      </c>
    </row>
    <row r="110" spans="1:16" x14ac:dyDescent="0.35">
      <c r="A110" s="14">
        <v>46056</v>
      </c>
      <c r="B110" t="s">
        <v>166</v>
      </c>
      <c r="C110" t="s">
        <v>40</v>
      </c>
      <c r="D110" t="s">
        <v>41</v>
      </c>
      <c r="E110" t="s">
        <v>42</v>
      </c>
      <c r="F110">
        <v>4</v>
      </c>
      <c r="G110">
        <v>5540.04</v>
      </c>
      <c r="H110">
        <v>771</v>
      </c>
      <c r="I110">
        <v>8</v>
      </c>
      <c r="J110" t="s">
        <v>364</v>
      </c>
      <c r="K110" t="s">
        <v>366</v>
      </c>
      <c r="L110">
        <v>860</v>
      </c>
      <c r="M110" t="s">
        <v>383</v>
      </c>
      <c r="N110">
        <v>525.01</v>
      </c>
      <c r="O110">
        <v>2100.04</v>
      </c>
      <c r="P110" t="s">
        <v>385</v>
      </c>
    </row>
    <row r="111" spans="1:16" x14ac:dyDescent="0.35">
      <c r="A111" s="14">
        <v>46056</v>
      </c>
      <c r="B111" t="s">
        <v>167</v>
      </c>
      <c r="C111" t="s">
        <v>76</v>
      </c>
      <c r="D111" t="s">
        <v>77</v>
      </c>
      <c r="E111" t="s">
        <v>38</v>
      </c>
      <c r="F111">
        <v>2</v>
      </c>
      <c r="G111">
        <v>1411.98</v>
      </c>
      <c r="H111">
        <v>578</v>
      </c>
      <c r="I111">
        <v>7</v>
      </c>
      <c r="J111" t="s">
        <v>370</v>
      </c>
      <c r="K111" t="s">
        <v>368</v>
      </c>
      <c r="L111">
        <v>360</v>
      </c>
      <c r="M111" t="s">
        <v>383</v>
      </c>
      <c r="N111">
        <v>345.99</v>
      </c>
      <c r="O111">
        <v>691.98</v>
      </c>
      <c r="P111" t="s">
        <v>384</v>
      </c>
    </row>
    <row r="112" spans="1:16" x14ac:dyDescent="0.35">
      <c r="A112" s="14">
        <v>46056</v>
      </c>
      <c r="B112" t="s">
        <v>168</v>
      </c>
      <c r="C112" t="s">
        <v>60</v>
      </c>
      <c r="D112" t="s">
        <v>61</v>
      </c>
      <c r="E112" t="s">
        <v>38</v>
      </c>
      <c r="F112">
        <v>1</v>
      </c>
      <c r="G112">
        <v>332.29</v>
      </c>
      <c r="H112">
        <v>802</v>
      </c>
      <c r="I112">
        <v>10</v>
      </c>
      <c r="J112" t="s">
        <v>371</v>
      </c>
      <c r="K112" t="s">
        <v>372</v>
      </c>
      <c r="L112">
        <v>155</v>
      </c>
      <c r="M112" t="s">
        <v>383</v>
      </c>
      <c r="N112">
        <v>177.29000000000002</v>
      </c>
      <c r="O112">
        <v>177.29000000000002</v>
      </c>
      <c r="P112" t="s">
        <v>384</v>
      </c>
    </row>
    <row r="113" spans="1:16" x14ac:dyDescent="0.35">
      <c r="A113" s="14">
        <v>46057</v>
      </c>
      <c r="B113" t="s">
        <v>169</v>
      </c>
      <c r="C113" t="s">
        <v>32</v>
      </c>
      <c r="D113" t="s">
        <v>33</v>
      </c>
      <c r="E113" t="s">
        <v>52</v>
      </c>
      <c r="F113">
        <v>3</v>
      </c>
      <c r="G113">
        <v>3525.06</v>
      </c>
      <c r="H113">
        <v>707</v>
      </c>
      <c r="I113">
        <v>8</v>
      </c>
      <c r="J113" t="s">
        <v>364</v>
      </c>
      <c r="K113" t="s">
        <v>365</v>
      </c>
      <c r="L113">
        <v>720</v>
      </c>
      <c r="M113" t="s">
        <v>383</v>
      </c>
      <c r="N113">
        <v>455.02</v>
      </c>
      <c r="O113">
        <v>1365.06</v>
      </c>
      <c r="P113" t="s">
        <v>385</v>
      </c>
    </row>
    <row r="114" spans="1:16" x14ac:dyDescent="0.35">
      <c r="A114" s="14">
        <v>46057</v>
      </c>
      <c r="B114" t="s">
        <v>170</v>
      </c>
      <c r="C114" t="s">
        <v>36</v>
      </c>
      <c r="D114" t="s">
        <v>37</v>
      </c>
      <c r="E114" t="s">
        <v>38</v>
      </c>
      <c r="F114">
        <v>3</v>
      </c>
      <c r="G114">
        <v>118.17</v>
      </c>
      <c r="H114">
        <v>2350</v>
      </c>
      <c r="I114">
        <v>18</v>
      </c>
      <c r="J114" t="s">
        <v>373</v>
      </c>
      <c r="K114" t="s">
        <v>375</v>
      </c>
      <c r="L114">
        <v>15</v>
      </c>
      <c r="M114" t="s">
        <v>383</v>
      </c>
      <c r="N114">
        <v>24.39</v>
      </c>
      <c r="O114">
        <v>73.17</v>
      </c>
      <c r="P114" t="s">
        <v>384</v>
      </c>
    </row>
    <row r="115" spans="1:16" x14ac:dyDescent="0.35">
      <c r="A115" s="14">
        <v>46057</v>
      </c>
      <c r="B115" t="s">
        <v>171</v>
      </c>
      <c r="C115" t="s">
        <v>60</v>
      </c>
      <c r="D115" t="s">
        <v>61</v>
      </c>
      <c r="E115" t="s">
        <v>34</v>
      </c>
      <c r="F115">
        <v>3</v>
      </c>
      <c r="G115">
        <v>987</v>
      </c>
      <c r="H115">
        <v>802</v>
      </c>
      <c r="I115">
        <v>10</v>
      </c>
      <c r="J115" t="s">
        <v>371</v>
      </c>
      <c r="K115" t="s">
        <v>372</v>
      </c>
      <c r="L115">
        <v>155</v>
      </c>
      <c r="M115" t="s">
        <v>383</v>
      </c>
      <c r="N115">
        <v>174</v>
      </c>
      <c r="O115">
        <v>522</v>
      </c>
      <c r="P115" t="s">
        <v>384</v>
      </c>
    </row>
    <row r="116" spans="1:16" x14ac:dyDescent="0.35">
      <c r="A116" s="14">
        <v>46057</v>
      </c>
      <c r="B116" t="s">
        <v>172</v>
      </c>
      <c r="C116" t="s">
        <v>76</v>
      </c>
      <c r="D116" t="s">
        <v>77</v>
      </c>
      <c r="E116" t="s">
        <v>42</v>
      </c>
      <c r="F116">
        <v>5</v>
      </c>
      <c r="G116">
        <v>3460.05</v>
      </c>
      <c r="H116">
        <v>578</v>
      </c>
      <c r="I116">
        <v>7</v>
      </c>
      <c r="J116" t="s">
        <v>370</v>
      </c>
      <c r="K116" t="s">
        <v>368</v>
      </c>
      <c r="L116">
        <v>360</v>
      </c>
      <c r="M116" t="s">
        <v>383</v>
      </c>
      <c r="N116">
        <v>332.01</v>
      </c>
      <c r="O116">
        <v>1660.0500000000002</v>
      </c>
      <c r="P116" t="s">
        <v>385</v>
      </c>
    </row>
    <row r="117" spans="1:16" x14ac:dyDescent="0.35">
      <c r="A117" s="14">
        <v>46058</v>
      </c>
      <c r="B117" t="s">
        <v>173</v>
      </c>
      <c r="C117" t="s">
        <v>44</v>
      </c>
      <c r="D117" t="s">
        <v>45</v>
      </c>
      <c r="E117" t="s">
        <v>42</v>
      </c>
      <c r="F117">
        <v>2</v>
      </c>
      <c r="G117">
        <v>1087.02</v>
      </c>
      <c r="H117">
        <v>1008</v>
      </c>
      <c r="I117">
        <v>12</v>
      </c>
      <c r="J117" t="s">
        <v>367</v>
      </c>
      <c r="K117" t="s">
        <v>369</v>
      </c>
      <c r="L117">
        <v>280</v>
      </c>
      <c r="M117" t="s">
        <v>383</v>
      </c>
      <c r="N117">
        <v>263.51</v>
      </c>
      <c r="O117">
        <v>527.02</v>
      </c>
      <c r="P117" t="s">
        <v>384</v>
      </c>
    </row>
    <row r="118" spans="1:16" x14ac:dyDescent="0.35">
      <c r="A118" s="14">
        <v>46058</v>
      </c>
      <c r="B118" t="s">
        <v>174</v>
      </c>
      <c r="C118" t="s">
        <v>60</v>
      </c>
      <c r="D118" t="s">
        <v>61</v>
      </c>
      <c r="E118" t="s">
        <v>42</v>
      </c>
      <c r="F118">
        <v>1</v>
      </c>
      <c r="G118">
        <v>325.70999999999998</v>
      </c>
      <c r="H118">
        <v>802</v>
      </c>
      <c r="I118">
        <v>10</v>
      </c>
      <c r="J118" t="s">
        <v>371</v>
      </c>
      <c r="K118" t="s">
        <v>372</v>
      </c>
      <c r="L118">
        <v>155</v>
      </c>
      <c r="M118" t="s">
        <v>383</v>
      </c>
      <c r="N118">
        <v>170.70999999999998</v>
      </c>
      <c r="O118">
        <v>170.70999999999998</v>
      </c>
      <c r="P118" t="s">
        <v>384</v>
      </c>
    </row>
    <row r="119" spans="1:16" x14ac:dyDescent="0.35">
      <c r="A119" s="14">
        <v>46058</v>
      </c>
      <c r="B119" t="s">
        <v>175</v>
      </c>
      <c r="C119" t="s">
        <v>60</v>
      </c>
      <c r="D119" t="s">
        <v>61</v>
      </c>
      <c r="E119" t="s">
        <v>52</v>
      </c>
      <c r="F119">
        <v>3</v>
      </c>
      <c r="G119">
        <v>967.26</v>
      </c>
      <c r="H119">
        <v>802</v>
      </c>
      <c r="I119">
        <v>10</v>
      </c>
      <c r="J119" t="s">
        <v>371</v>
      </c>
      <c r="K119" t="s">
        <v>372</v>
      </c>
      <c r="L119">
        <v>155</v>
      </c>
      <c r="M119" t="s">
        <v>383</v>
      </c>
      <c r="N119">
        <v>167.42000000000002</v>
      </c>
      <c r="O119">
        <v>502.26</v>
      </c>
      <c r="P119" t="s">
        <v>384</v>
      </c>
    </row>
    <row r="120" spans="1:16" x14ac:dyDescent="0.35">
      <c r="A120" s="14">
        <v>46058</v>
      </c>
      <c r="B120" t="s">
        <v>176</v>
      </c>
      <c r="C120" t="s">
        <v>83</v>
      </c>
      <c r="D120" t="s">
        <v>84</v>
      </c>
      <c r="E120" t="s">
        <v>38</v>
      </c>
      <c r="F120">
        <v>2</v>
      </c>
      <c r="G120">
        <v>240.38</v>
      </c>
      <c r="H120">
        <v>1432</v>
      </c>
      <c r="I120">
        <v>14</v>
      </c>
      <c r="J120" t="s">
        <v>376</v>
      </c>
      <c r="K120" t="s">
        <v>377</v>
      </c>
      <c r="L120">
        <v>48</v>
      </c>
      <c r="M120" t="s">
        <v>383</v>
      </c>
      <c r="N120">
        <v>72.19</v>
      </c>
      <c r="O120">
        <v>144.38</v>
      </c>
      <c r="P120" t="s">
        <v>384</v>
      </c>
    </row>
    <row r="121" spans="1:16" x14ac:dyDescent="0.35">
      <c r="A121" s="14">
        <v>46059</v>
      </c>
      <c r="B121" t="s">
        <v>177</v>
      </c>
      <c r="C121" t="s">
        <v>32</v>
      </c>
      <c r="D121" t="s">
        <v>33</v>
      </c>
      <c r="E121" t="s">
        <v>34</v>
      </c>
      <c r="F121">
        <v>2</v>
      </c>
      <c r="G121">
        <v>2398</v>
      </c>
      <c r="H121">
        <v>707</v>
      </c>
      <c r="I121">
        <v>8</v>
      </c>
      <c r="J121" t="s">
        <v>364</v>
      </c>
      <c r="K121" t="s">
        <v>365</v>
      </c>
      <c r="L121">
        <v>720</v>
      </c>
      <c r="M121" t="s">
        <v>383</v>
      </c>
      <c r="N121">
        <v>479</v>
      </c>
      <c r="O121">
        <v>958</v>
      </c>
      <c r="P121" t="s">
        <v>385</v>
      </c>
    </row>
    <row r="122" spans="1:16" x14ac:dyDescent="0.35">
      <c r="A122" s="14">
        <v>46059</v>
      </c>
      <c r="B122" t="s">
        <v>178</v>
      </c>
      <c r="C122" t="s">
        <v>50</v>
      </c>
      <c r="D122" t="s">
        <v>51</v>
      </c>
      <c r="E122" t="s">
        <v>38</v>
      </c>
      <c r="F122">
        <v>2</v>
      </c>
      <c r="G122">
        <v>260.58</v>
      </c>
      <c r="H122">
        <v>2550</v>
      </c>
      <c r="I122">
        <v>18</v>
      </c>
      <c r="J122" t="s">
        <v>373</v>
      </c>
      <c r="K122" t="s">
        <v>374</v>
      </c>
      <c r="L122">
        <v>58</v>
      </c>
      <c r="M122" t="s">
        <v>383</v>
      </c>
      <c r="N122">
        <v>72.289999999999992</v>
      </c>
      <c r="O122">
        <v>144.57999999999998</v>
      </c>
      <c r="P122" t="s">
        <v>384</v>
      </c>
    </row>
    <row r="123" spans="1:16" x14ac:dyDescent="0.35">
      <c r="A123" s="14">
        <v>46059</v>
      </c>
      <c r="B123" t="s">
        <v>179</v>
      </c>
      <c r="C123" t="s">
        <v>79</v>
      </c>
      <c r="D123" t="s">
        <v>80</v>
      </c>
      <c r="E123" t="s">
        <v>34</v>
      </c>
      <c r="F123">
        <v>2</v>
      </c>
      <c r="G123">
        <v>898</v>
      </c>
      <c r="H123">
        <v>772</v>
      </c>
      <c r="I123">
        <v>10</v>
      </c>
      <c r="J123" t="s">
        <v>371</v>
      </c>
      <c r="K123" t="s">
        <v>369</v>
      </c>
      <c r="L123">
        <v>220</v>
      </c>
      <c r="M123" t="s">
        <v>383</v>
      </c>
      <c r="N123">
        <v>229</v>
      </c>
      <c r="O123">
        <v>458</v>
      </c>
      <c r="P123" t="s">
        <v>384</v>
      </c>
    </row>
    <row r="124" spans="1:16" x14ac:dyDescent="0.35">
      <c r="A124" s="14">
        <v>46059</v>
      </c>
      <c r="B124" t="s">
        <v>180</v>
      </c>
      <c r="C124" t="s">
        <v>83</v>
      </c>
      <c r="D124" t="s">
        <v>84</v>
      </c>
      <c r="E124" t="s">
        <v>52</v>
      </c>
      <c r="F124">
        <v>1</v>
      </c>
      <c r="G124">
        <v>116.62</v>
      </c>
      <c r="H124">
        <v>1432</v>
      </c>
      <c r="I124">
        <v>14</v>
      </c>
      <c r="J124" t="s">
        <v>376</v>
      </c>
      <c r="K124" t="s">
        <v>377</v>
      </c>
      <c r="L124">
        <v>48</v>
      </c>
      <c r="M124" t="s">
        <v>383</v>
      </c>
      <c r="N124">
        <v>68.62</v>
      </c>
      <c r="O124">
        <v>68.62</v>
      </c>
      <c r="P124" t="s">
        <v>384</v>
      </c>
    </row>
    <row r="125" spans="1:16" x14ac:dyDescent="0.35">
      <c r="A125" s="14">
        <v>46060</v>
      </c>
      <c r="B125" t="s">
        <v>181</v>
      </c>
      <c r="C125" t="s">
        <v>50</v>
      </c>
      <c r="D125" t="s">
        <v>51</v>
      </c>
      <c r="E125" t="s">
        <v>38</v>
      </c>
      <c r="F125">
        <v>2</v>
      </c>
      <c r="G125">
        <v>260.58</v>
      </c>
      <c r="H125">
        <v>2550</v>
      </c>
      <c r="I125">
        <v>18</v>
      </c>
      <c r="J125" t="s">
        <v>373</v>
      </c>
      <c r="K125" t="s">
        <v>374</v>
      </c>
      <c r="L125">
        <v>58</v>
      </c>
      <c r="M125" t="s">
        <v>383</v>
      </c>
      <c r="N125">
        <v>72.289999999999992</v>
      </c>
      <c r="O125">
        <v>144.57999999999998</v>
      </c>
      <c r="P125" t="s">
        <v>384</v>
      </c>
    </row>
    <row r="126" spans="1:16" x14ac:dyDescent="0.35">
      <c r="A126" s="14">
        <v>46060</v>
      </c>
      <c r="B126" t="s">
        <v>182</v>
      </c>
      <c r="C126" t="s">
        <v>36</v>
      </c>
      <c r="D126" t="s">
        <v>37</v>
      </c>
      <c r="E126" t="s">
        <v>38</v>
      </c>
      <c r="F126">
        <v>3</v>
      </c>
      <c r="G126">
        <v>118.17</v>
      </c>
      <c r="H126">
        <v>2350</v>
      </c>
      <c r="I126">
        <v>18</v>
      </c>
      <c r="J126" t="s">
        <v>373</v>
      </c>
      <c r="K126" t="s">
        <v>375</v>
      </c>
      <c r="L126">
        <v>15</v>
      </c>
      <c r="M126" t="s">
        <v>383</v>
      </c>
      <c r="N126">
        <v>24.39</v>
      </c>
      <c r="O126">
        <v>73.17</v>
      </c>
      <c r="P126" t="s">
        <v>384</v>
      </c>
    </row>
    <row r="127" spans="1:16" x14ac:dyDescent="0.35">
      <c r="A127" s="14">
        <v>46061</v>
      </c>
      <c r="B127" t="s">
        <v>183</v>
      </c>
      <c r="C127" t="s">
        <v>73</v>
      </c>
      <c r="D127" t="s">
        <v>74</v>
      </c>
      <c r="E127" t="s">
        <v>34</v>
      </c>
      <c r="F127">
        <v>1</v>
      </c>
      <c r="G127">
        <v>999</v>
      </c>
      <c r="H127">
        <v>1034</v>
      </c>
      <c r="I127">
        <v>12</v>
      </c>
      <c r="J127" t="s">
        <v>367</v>
      </c>
      <c r="K127" t="s">
        <v>368</v>
      </c>
      <c r="L127">
        <v>640</v>
      </c>
      <c r="M127" t="s">
        <v>383</v>
      </c>
      <c r="N127">
        <v>359</v>
      </c>
      <c r="O127">
        <v>359</v>
      </c>
      <c r="P127" t="s">
        <v>384</v>
      </c>
    </row>
    <row r="128" spans="1:16" x14ac:dyDescent="0.35">
      <c r="A128" s="14">
        <v>46061</v>
      </c>
      <c r="B128" t="s">
        <v>184</v>
      </c>
      <c r="C128" t="s">
        <v>79</v>
      </c>
      <c r="D128" t="s">
        <v>80</v>
      </c>
      <c r="E128" t="s">
        <v>52</v>
      </c>
      <c r="F128">
        <v>1</v>
      </c>
      <c r="G128">
        <v>440.02</v>
      </c>
      <c r="H128">
        <v>772</v>
      </c>
      <c r="I128">
        <v>10</v>
      </c>
      <c r="J128" t="s">
        <v>371</v>
      </c>
      <c r="K128" t="s">
        <v>369</v>
      </c>
      <c r="L128">
        <v>220</v>
      </c>
      <c r="M128" t="s">
        <v>383</v>
      </c>
      <c r="N128">
        <v>220.01999999999998</v>
      </c>
      <c r="O128">
        <v>220.01999999999998</v>
      </c>
      <c r="P128" t="s">
        <v>384</v>
      </c>
    </row>
    <row r="129" spans="1:16" x14ac:dyDescent="0.35">
      <c r="A129" s="14">
        <v>46062</v>
      </c>
      <c r="B129" t="s">
        <v>185</v>
      </c>
      <c r="C129" t="s">
        <v>47</v>
      </c>
      <c r="D129" t="s">
        <v>48</v>
      </c>
      <c r="E129" t="s">
        <v>34</v>
      </c>
      <c r="F129">
        <v>3</v>
      </c>
      <c r="G129">
        <v>177</v>
      </c>
      <c r="H129">
        <v>2442</v>
      </c>
      <c r="I129">
        <v>18</v>
      </c>
      <c r="J129" t="s">
        <v>373</v>
      </c>
      <c r="K129" t="s">
        <v>375</v>
      </c>
      <c r="L129">
        <v>22</v>
      </c>
      <c r="M129" t="s">
        <v>383</v>
      </c>
      <c r="N129">
        <v>37</v>
      </c>
      <c r="O129">
        <v>111</v>
      </c>
      <c r="P129" t="s">
        <v>384</v>
      </c>
    </row>
    <row r="130" spans="1:16" x14ac:dyDescent="0.35">
      <c r="A130" s="14">
        <v>46062</v>
      </c>
      <c r="B130" t="s">
        <v>186</v>
      </c>
      <c r="C130" t="s">
        <v>50</v>
      </c>
      <c r="D130" t="s">
        <v>51</v>
      </c>
      <c r="E130" t="s">
        <v>34</v>
      </c>
      <c r="F130">
        <v>3</v>
      </c>
      <c r="G130">
        <v>387</v>
      </c>
      <c r="H130">
        <v>2550</v>
      </c>
      <c r="I130">
        <v>18</v>
      </c>
      <c r="J130" t="s">
        <v>373</v>
      </c>
      <c r="K130" t="s">
        <v>374</v>
      </c>
      <c r="L130">
        <v>58</v>
      </c>
      <c r="M130" t="s">
        <v>383</v>
      </c>
      <c r="N130">
        <v>71</v>
      </c>
      <c r="O130">
        <v>213</v>
      </c>
      <c r="P130" t="s">
        <v>384</v>
      </c>
    </row>
    <row r="131" spans="1:16" x14ac:dyDescent="0.35">
      <c r="A131" s="14">
        <v>46062</v>
      </c>
      <c r="B131" t="s">
        <v>187</v>
      </c>
      <c r="C131" t="s">
        <v>32</v>
      </c>
      <c r="D131" t="s">
        <v>33</v>
      </c>
      <c r="E131" t="s">
        <v>38</v>
      </c>
      <c r="F131">
        <v>4</v>
      </c>
      <c r="G131">
        <v>4843.96</v>
      </c>
      <c r="H131">
        <v>707</v>
      </c>
      <c r="I131">
        <v>8</v>
      </c>
      <c r="J131" t="s">
        <v>364</v>
      </c>
      <c r="K131" t="s">
        <v>365</v>
      </c>
      <c r="L131">
        <v>720</v>
      </c>
      <c r="M131" t="s">
        <v>383</v>
      </c>
      <c r="N131">
        <v>490.99</v>
      </c>
      <c r="O131">
        <v>1963.96</v>
      </c>
      <c r="P131" t="s">
        <v>385</v>
      </c>
    </row>
    <row r="132" spans="1:16" x14ac:dyDescent="0.35">
      <c r="A132" s="14">
        <v>46063</v>
      </c>
      <c r="B132" t="s">
        <v>188</v>
      </c>
      <c r="C132" t="s">
        <v>60</v>
      </c>
      <c r="D132" t="s">
        <v>61</v>
      </c>
      <c r="E132" t="s">
        <v>34</v>
      </c>
      <c r="F132">
        <v>8</v>
      </c>
      <c r="G132">
        <v>2632</v>
      </c>
      <c r="H132">
        <v>802</v>
      </c>
      <c r="I132">
        <v>10</v>
      </c>
      <c r="J132" t="s">
        <v>371</v>
      </c>
      <c r="K132" t="s">
        <v>372</v>
      </c>
      <c r="L132">
        <v>155</v>
      </c>
      <c r="M132" t="s">
        <v>383</v>
      </c>
      <c r="N132">
        <v>174</v>
      </c>
      <c r="O132">
        <v>1392</v>
      </c>
      <c r="P132" t="s">
        <v>385</v>
      </c>
    </row>
    <row r="133" spans="1:16" x14ac:dyDescent="0.35">
      <c r="A133" s="14">
        <v>46063</v>
      </c>
      <c r="B133" t="s">
        <v>189</v>
      </c>
      <c r="C133" t="s">
        <v>50</v>
      </c>
      <c r="D133" t="s">
        <v>51</v>
      </c>
      <c r="E133" t="s">
        <v>34</v>
      </c>
      <c r="F133">
        <v>1</v>
      </c>
      <c r="G133">
        <v>129</v>
      </c>
      <c r="H133">
        <v>2550</v>
      </c>
      <c r="I133">
        <v>18</v>
      </c>
      <c r="J133" t="s">
        <v>373</v>
      </c>
      <c r="K133" t="s">
        <v>374</v>
      </c>
      <c r="L133">
        <v>58</v>
      </c>
      <c r="M133" t="s">
        <v>383</v>
      </c>
      <c r="N133">
        <v>71</v>
      </c>
      <c r="O133">
        <v>71</v>
      </c>
      <c r="P133" t="s">
        <v>384</v>
      </c>
    </row>
    <row r="134" spans="1:16" x14ac:dyDescent="0.35">
      <c r="A134" s="14">
        <v>46063</v>
      </c>
      <c r="B134" t="s">
        <v>190</v>
      </c>
      <c r="C134" t="s">
        <v>83</v>
      </c>
      <c r="D134" t="s">
        <v>84</v>
      </c>
      <c r="E134" t="s">
        <v>42</v>
      </c>
      <c r="F134">
        <v>4</v>
      </c>
      <c r="G134">
        <v>471.24</v>
      </c>
      <c r="H134">
        <v>1432</v>
      </c>
      <c r="I134">
        <v>14</v>
      </c>
      <c r="J134" t="s">
        <v>376</v>
      </c>
      <c r="K134" t="s">
        <v>377</v>
      </c>
      <c r="L134">
        <v>48</v>
      </c>
      <c r="M134" t="s">
        <v>383</v>
      </c>
      <c r="N134">
        <v>69.81</v>
      </c>
      <c r="O134">
        <v>279.24</v>
      </c>
      <c r="P134" t="s">
        <v>384</v>
      </c>
    </row>
    <row r="135" spans="1:16" x14ac:dyDescent="0.35">
      <c r="A135" s="14">
        <v>46064</v>
      </c>
      <c r="B135" t="s">
        <v>191</v>
      </c>
      <c r="C135" t="s">
        <v>55</v>
      </c>
      <c r="D135" t="s">
        <v>56</v>
      </c>
      <c r="E135" t="s">
        <v>38</v>
      </c>
      <c r="F135">
        <v>8</v>
      </c>
      <c r="G135">
        <v>719.12</v>
      </c>
      <c r="H135">
        <v>1374</v>
      </c>
      <c r="I135">
        <v>14</v>
      </c>
      <c r="J135" t="s">
        <v>376</v>
      </c>
      <c r="K135" t="s">
        <v>375</v>
      </c>
      <c r="L135">
        <v>34</v>
      </c>
      <c r="M135" t="s">
        <v>383</v>
      </c>
      <c r="N135">
        <v>55.89</v>
      </c>
      <c r="O135">
        <v>447.12</v>
      </c>
      <c r="P135" t="s">
        <v>384</v>
      </c>
    </row>
    <row r="136" spans="1:16" x14ac:dyDescent="0.35">
      <c r="A136" s="14">
        <v>46064</v>
      </c>
      <c r="B136" t="s">
        <v>192</v>
      </c>
      <c r="C136" t="s">
        <v>83</v>
      </c>
      <c r="D136" t="s">
        <v>84</v>
      </c>
      <c r="E136" t="s">
        <v>38</v>
      </c>
      <c r="F136">
        <v>4</v>
      </c>
      <c r="G136">
        <v>480.76</v>
      </c>
      <c r="H136">
        <v>1432</v>
      </c>
      <c r="I136">
        <v>14</v>
      </c>
      <c r="J136" t="s">
        <v>376</v>
      </c>
      <c r="K136" t="s">
        <v>377</v>
      </c>
      <c r="L136">
        <v>48</v>
      </c>
      <c r="M136" t="s">
        <v>383</v>
      </c>
      <c r="N136">
        <v>72.19</v>
      </c>
      <c r="O136">
        <v>288.76</v>
      </c>
      <c r="P136" t="s">
        <v>384</v>
      </c>
    </row>
    <row r="137" spans="1:16" x14ac:dyDescent="0.35">
      <c r="A137" s="14">
        <v>46064</v>
      </c>
      <c r="B137" t="s">
        <v>193</v>
      </c>
      <c r="C137" t="s">
        <v>50</v>
      </c>
      <c r="D137" t="s">
        <v>51</v>
      </c>
      <c r="E137" t="s">
        <v>52</v>
      </c>
      <c r="F137">
        <v>3</v>
      </c>
      <c r="G137">
        <v>379.26</v>
      </c>
      <c r="H137">
        <v>2550</v>
      </c>
      <c r="I137">
        <v>18</v>
      </c>
      <c r="J137" t="s">
        <v>373</v>
      </c>
      <c r="K137" t="s">
        <v>374</v>
      </c>
      <c r="L137">
        <v>58</v>
      </c>
      <c r="M137" t="s">
        <v>383</v>
      </c>
      <c r="N137">
        <v>68.42</v>
      </c>
      <c r="O137">
        <v>205.26</v>
      </c>
      <c r="P137" t="s">
        <v>384</v>
      </c>
    </row>
    <row r="138" spans="1:16" x14ac:dyDescent="0.35">
      <c r="A138" s="14">
        <v>46064</v>
      </c>
      <c r="B138" t="s">
        <v>194</v>
      </c>
      <c r="C138" t="s">
        <v>83</v>
      </c>
      <c r="D138" t="s">
        <v>84</v>
      </c>
      <c r="E138" t="s">
        <v>38</v>
      </c>
      <c r="F138">
        <v>2</v>
      </c>
      <c r="G138">
        <v>240.38</v>
      </c>
      <c r="H138">
        <v>1432</v>
      </c>
      <c r="I138">
        <v>14</v>
      </c>
      <c r="J138" t="s">
        <v>376</v>
      </c>
      <c r="K138" t="s">
        <v>377</v>
      </c>
      <c r="L138">
        <v>48</v>
      </c>
      <c r="M138" t="s">
        <v>383</v>
      </c>
      <c r="N138">
        <v>72.19</v>
      </c>
      <c r="O138">
        <v>144.38</v>
      </c>
      <c r="P138" t="s">
        <v>384</v>
      </c>
    </row>
    <row r="139" spans="1:16" x14ac:dyDescent="0.35">
      <c r="A139" s="14">
        <v>46065</v>
      </c>
      <c r="B139" t="s">
        <v>195</v>
      </c>
      <c r="C139" t="s">
        <v>44</v>
      </c>
      <c r="D139" t="s">
        <v>45</v>
      </c>
      <c r="E139" t="s">
        <v>38</v>
      </c>
      <c r="F139">
        <v>4</v>
      </c>
      <c r="G139">
        <v>2217.96</v>
      </c>
      <c r="H139">
        <v>1008</v>
      </c>
      <c r="I139">
        <v>12</v>
      </c>
      <c r="J139" t="s">
        <v>367</v>
      </c>
      <c r="K139" t="s">
        <v>369</v>
      </c>
      <c r="L139">
        <v>280</v>
      </c>
      <c r="M139" t="s">
        <v>383</v>
      </c>
      <c r="N139">
        <v>274.49</v>
      </c>
      <c r="O139">
        <v>1097.96</v>
      </c>
      <c r="P139" t="s">
        <v>385</v>
      </c>
    </row>
    <row r="140" spans="1:16" x14ac:dyDescent="0.35">
      <c r="A140" s="14">
        <v>46065</v>
      </c>
      <c r="B140" t="s">
        <v>196</v>
      </c>
      <c r="C140" t="s">
        <v>50</v>
      </c>
      <c r="D140" t="s">
        <v>51</v>
      </c>
      <c r="E140" t="s">
        <v>38</v>
      </c>
      <c r="F140">
        <v>1</v>
      </c>
      <c r="G140">
        <v>130.29</v>
      </c>
      <c r="H140">
        <v>2550</v>
      </c>
      <c r="I140">
        <v>18</v>
      </c>
      <c r="J140" t="s">
        <v>373</v>
      </c>
      <c r="K140" t="s">
        <v>374</v>
      </c>
      <c r="L140">
        <v>58</v>
      </c>
      <c r="M140" t="s">
        <v>383</v>
      </c>
      <c r="N140">
        <v>72.289999999999992</v>
      </c>
      <c r="O140">
        <v>72.289999999999992</v>
      </c>
      <c r="P140" t="s">
        <v>384</v>
      </c>
    </row>
    <row r="141" spans="1:16" x14ac:dyDescent="0.35">
      <c r="A141" s="14">
        <v>46065</v>
      </c>
      <c r="B141" t="s">
        <v>197</v>
      </c>
      <c r="C141" t="s">
        <v>32</v>
      </c>
      <c r="D141" t="s">
        <v>33</v>
      </c>
      <c r="E141" t="s">
        <v>34</v>
      </c>
      <c r="F141">
        <v>1</v>
      </c>
      <c r="G141">
        <v>1199</v>
      </c>
      <c r="H141">
        <v>707</v>
      </c>
      <c r="I141">
        <v>8</v>
      </c>
      <c r="J141" t="s">
        <v>364</v>
      </c>
      <c r="K141" t="s">
        <v>365</v>
      </c>
      <c r="L141">
        <v>720</v>
      </c>
      <c r="M141" t="s">
        <v>383</v>
      </c>
      <c r="N141">
        <v>479</v>
      </c>
      <c r="O141">
        <v>479</v>
      </c>
      <c r="P141" t="s">
        <v>384</v>
      </c>
    </row>
    <row r="142" spans="1:16" x14ac:dyDescent="0.35">
      <c r="A142" s="14">
        <v>46066</v>
      </c>
      <c r="B142" t="s">
        <v>198</v>
      </c>
      <c r="C142" t="s">
        <v>50</v>
      </c>
      <c r="D142" t="s">
        <v>51</v>
      </c>
      <c r="E142" t="s">
        <v>34</v>
      </c>
      <c r="F142">
        <v>1</v>
      </c>
      <c r="G142">
        <v>129</v>
      </c>
      <c r="H142">
        <v>2550</v>
      </c>
      <c r="I142">
        <v>18</v>
      </c>
      <c r="J142" t="s">
        <v>373</v>
      </c>
      <c r="K142" t="s">
        <v>374</v>
      </c>
      <c r="L142">
        <v>58</v>
      </c>
      <c r="M142" t="s">
        <v>383</v>
      </c>
      <c r="N142">
        <v>71</v>
      </c>
      <c r="O142">
        <v>71</v>
      </c>
      <c r="P142" t="s">
        <v>384</v>
      </c>
    </row>
    <row r="143" spans="1:16" x14ac:dyDescent="0.35">
      <c r="A143" s="14">
        <v>46066</v>
      </c>
      <c r="B143" t="s">
        <v>199</v>
      </c>
      <c r="C143" t="s">
        <v>47</v>
      </c>
      <c r="D143" t="s">
        <v>48</v>
      </c>
      <c r="E143" t="s">
        <v>38</v>
      </c>
      <c r="F143">
        <v>1</v>
      </c>
      <c r="G143">
        <v>59.59</v>
      </c>
      <c r="H143">
        <v>2442</v>
      </c>
      <c r="I143">
        <v>18</v>
      </c>
      <c r="J143" t="s">
        <v>373</v>
      </c>
      <c r="K143" t="s">
        <v>375</v>
      </c>
      <c r="L143">
        <v>22</v>
      </c>
      <c r="M143" t="s">
        <v>383</v>
      </c>
      <c r="N143">
        <v>37.590000000000003</v>
      </c>
      <c r="O143">
        <v>37.590000000000003</v>
      </c>
      <c r="P143" t="s">
        <v>384</v>
      </c>
    </row>
    <row r="144" spans="1:16" x14ac:dyDescent="0.35">
      <c r="A144" s="14">
        <v>46066</v>
      </c>
      <c r="B144" t="s">
        <v>200</v>
      </c>
      <c r="C144" t="s">
        <v>60</v>
      </c>
      <c r="D144" t="s">
        <v>61</v>
      </c>
      <c r="E144" t="s">
        <v>42</v>
      </c>
      <c r="F144">
        <v>2</v>
      </c>
      <c r="G144">
        <v>651.41999999999996</v>
      </c>
      <c r="H144">
        <v>802</v>
      </c>
      <c r="I144">
        <v>10</v>
      </c>
      <c r="J144" t="s">
        <v>371</v>
      </c>
      <c r="K144" t="s">
        <v>372</v>
      </c>
      <c r="L144">
        <v>155</v>
      </c>
      <c r="M144" t="s">
        <v>383</v>
      </c>
      <c r="N144">
        <v>170.70999999999998</v>
      </c>
      <c r="O144">
        <v>341.41999999999996</v>
      </c>
      <c r="P144" t="s">
        <v>384</v>
      </c>
    </row>
    <row r="145" spans="1:16" x14ac:dyDescent="0.35">
      <c r="A145" s="14">
        <v>46067</v>
      </c>
      <c r="B145" t="s">
        <v>201</v>
      </c>
      <c r="C145" t="s">
        <v>60</v>
      </c>
      <c r="D145" t="s">
        <v>61</v>
      </c>
      <c r="E145" t="s">
        <v>52</v>
      </c>
      <c r="F145">
        <v>3</v>
      </c>
      <c r="G145">
        <v>967.26</v>
      </c>
      <c r="H145">
        <v>802</v>
      </c>
      <c r="I145">
        <v>10</v>
      </c>
      <c r="J145" t="s">
        <v>371</v>
      </c>
      <c r="K145" t="s">
        <v>372</v>
      </c>
      <c r="L145">
        <v>155</v>
      </c>
      <c r="M145" t="s">
        <v>383</v>
      </c>
      <c r="N145">
        <v>167.42000000000002</v>
      </c>
      <c r="O145">
        <v>502.26</v>
      </c>
      <c r="P145" t="s">
        <v>384</v>
      </c>
    </row>
    <row r="146" spans="1:16" x14ac:dyDescent="0.35">
      <c r="A146" s="14">
        <v>46067</v>
      </c>
      <c r="B146" t="s">
        <v>202</v>
      </c>
      <c r="C146" t="s">
        <v>47</v>
      </c>
      <c r="D146" t="s">
        <v>48</v>
      </c>
      <c r="E146" t="s">
        <v>52</v>
      </c>
      <c r="F146">
        <v>4</v>
      </c>
      <c r="G146">
        <v>231.28</v>
      </c>
      <c r="H146">
        <v>2442</v>
      </c>
      <c r="I146">
        <v>18</v>
      </c>
      <c r="J146" t="s">
        <v>373</v>
      </c>
      <c r="K146" t="s">
        <v>375</v>
      </c>
      <c r="L146">
        <v>22</v>
      </c>
      <c r="M146" t="s">
        <v>383</v>
      </c>
      <c r="N146">
        <v>35.82</v>
      </c>
      <c r="O146">
        <v>143.28</v>
      </c>
      <c r="P146" t="s">
        <v>384</v>
      </c>
    </row>
    <row r="147" spans="1:16" x14ac:dyDescent="0.35">
      <c r="A147" s="14">
        <v>46068</v>
      </c>
      <c r="B147" t="s">
        <v>203</v>
      </c>
      <c r="C147" t="s">
        <v>32</v>
      </c>
      <c r="D147" t="s">
        <v>33</v>
      </c>
      <c r="E147" t="s">
        <v>42</v>
      </c>
      <c r="F147">
        <v>4</v>
      </c>
      <c r="G147">
        <v>4748.04</v>
      </c>
      <c r="H147">
        <v>707</v>
      </c>
      <c r="I147">
        <v>8</v>
      </c>
      <c r="J147" t="s">
        <v>364</v>
      </c>
      <c r="K147" t="s">
        <v>365</v>
      </c>
      <c r="L147">
        <v>720</v>
      </c>
      <c r="M147" t="s">
        <v>383</v>
      </c>
      <c r="N147">
        <v>467.01</v>
      </c>
      <c r="O147">
        <v>1868.04</v>
      </c>
      <c r="P147" t="s">
        <v>385</v>
      </c>
    </row>
    <row r="148" spans="1:16" x14ac:dyDescent="0.35">
      <c r="A148" s="14">
        <v>46068</v>
      </c>
      <c r="B148" t="s">
        <v>204</v>
      </c>
      <c r="C148" t="s">
        <v>83</v>
      </c>
      <c r="D148" t="s">
        <v>84</v>
      </c>
      <c r="E148" t="s">
        <v>52</v>
      </c>
      <c r="F148">
        <v>2</v>
      </c>
      <c r="G148">
        <v>233.24</v>
      </c>
      <c r="H148">
        <v>1432</v>
      </c>
      <c r="I148">
        <v>14</v>
      </c>
      <c r="J148" t="s">
        <v>376</v>
      </c>
      <c r="K148" t="s">
        <v>377</v>
      </c>
      <c r="L148">
        <v>48</v>
      </c>
      <c r="M148" t="s">
        <v>383</v>
      </c>
      <c r="N148">
        <v>68.62</v>
      </c>
      <c r="O148">
        <v>137.24</v>
      </c>
      <c r="P148" t="s">
        <v>384</v>
      </c>
    </row>
    <row r="149" spans="1:16" x14ac:dyDescent="0.35">
      <c r="A149" s="14">
        <v>46069</v>
      </c>
      <c r="B149" t="s">
        <v>205</v>
      </c>
      <c r="C149" t="s">
        <v>50</v>
      </c>
      <c r="D149" t="s">
        <v>51</v>
      </c>
      <c r="E149" t="s">
        <v>38</v>
      </c>
      <c r="F149">
        <v>1</v>
      </c>
      <c r="G149">
        <v>130.29</v>
      </c>
      <c r="H149">
        <v>2550</v>
      </c>
      <c r="I149">
        <v>18</v>
      </c>
      <c r="J149" t="s">
        <v>373</v>
      </c>
      <c r="K149" t="s">
        <v>374</v>
      </c>
      <c r="L149">
        <v>58</v>
      </c>
      <c r="M149" t="s">
        <v>383</v>
      </c>
      <c r="N149">
        <v>72.289999999999992</v>
      </c>
      <c r="O149">
        <v>72.289999999999992</v>
      </c>
      <c r="P149" t="s">
        <v>384</v>
      </c>
    </row>
    <row r="150" spans="1:16" x14ac:dyDescent="0.35">
      <c r="A150" s="14">
        <v>46069</v>
      </c>
      <c r="B150" t="s">
        <v>206</v>
      </c>
      <c r="C150" t="s">
        <v>44</v>
      </c>
      <c r="D150" t="s">
        <v>45</v>
      </c>
      <c r="E150" t="s">
        <v>42</v>
      </c>
      <c r="F150">
        <v>1</v>
      </c>
      <c r="G150">
        <v>543.51</v>
      </c>
      <c r="H150">
        <v>1008</v>
      </c>
      <c r="I150">
        <v>12</v>
      </c>
      <c r="J150" t="s">
        <v>367</v>
      </c>
      <c r="K150" t="s">
        <v>369</v>
      </c>
      <c r="L150">
        <v>280</v>
      </c>
      <c r="M150" t="s">
        <v>383</v>
      </c>
      <c r="N150">
        <v>263.51</v>
      </c>
      <c r="O150">
        <v>263.51</v>
      </c>
      <c r="P150" t="s">
        <v>384</v>
      </c>
    </row>
    <row r="151" spans="1:16" x14ac:dyDescent="0.35">
      <c r="A151" s="14">
        <v>46069</v>
      </c>
      <c r="B151" t="s">
        <v>207</v>
      </c>
      <c r="C151" t="s">
        <v>76</v>
      </c>
      <c r="D151" t="s">
        <v>77</v>
      </c>
      <c r="E151" t="s">
        <v>38</v>
      </c>
      <c r="F151">
        <v>2</v>
      </c>
      <c r="G151">
        <v>1411.98</v>
      </c>
      <c r="H151">
        <v>578</v>
      </c>
      <c r="I151">
        <v>7</v>
      </c>
      <c r="J151" t="s">
        <v>370</v>
      </c>
      <c r="K151" t="s">
        <v>368</v>
      </c>
      <c r="L151">
        <v>360</v>
      </c>
      <c r="M151" t="s">
        <v>383</v>
      </c>
      <c r="N151">
        <v>345.99</v>
      </c>
      <c r="O151">
        <v>691.98</v>
      </c>
      <c r="P151" t="s">
        <v>384</v>
      </c>
    </row>
    <row r="152" spans="1:16" x14ac:dyDescent="0.35">
      <c r="A152" s="14">
        <v>46069</v>
      </c>
      <c r="B152" t="s">
        <v>208</v>
      </c>
      <c r="C152" t="s">
        <v>73</v>
      </c>
      <c r="D152" t="s">
        <v>74</v>
      </c>
      <c r="E152" t="s">
        <v>42</v>
      </c>
      <c r="F152">
        <v>1</v>
      </c>
      <c r="G152">
        <v>989.01</v>
      </c>
      <c r="H152">
        <v>1034</v>
      </c>
      <c r="I152">
        <v>12</v>
      </c>
      <c r="J152" t="s">
        <v>367</v>
      </c>
      <c r="K152" t="s">
        <v>368</v>
      </c>
      <c r="L152">
        <v>640</v>
      </c>
      <c r="M152" t="s">
        <v>383</v>
      </c>
      <c r="N152">
        <v>349.01</v>
      </c>
      <c r="O152">
        <v>349.01</v>
      </c>
      <c r="P152" t="s">
        <v>384</v>
      </c>
    </row>
    <row r="153" spans="1:16" x14ac:dyDescent="0.35">
      <c r="A153" s="14">
        <v>46070</v>
      </c>
      <c r="B153" t="s">
        <v>209</v>
      </c>
      <c r="C153" t="s">
        <v>32</v>
      </c>
      <c r="D153" t="s">
        <v>33</v>
      </c>
      <c r="E153" t="s">
        <v>42</v>
      </c>
      <c r="F153">
        <v>3</v>
      </c>
      <c r="G153">
        <v>3561.03</v>
      </c>
      <c r="H153">
        <v>707</v>
      </c>
      <c r="I153">
        <v>8</v>
      </c>
      <c r="J153" t="s">
        <v>364</v>
      </c>
      <c r="K153" t="s">
        <v>365</v>
      </c>
      <c r="L153">
        <v>720</v>
      </c>
      <c r="M153" t="s">
        <v>383</v>
      </c>
      <c r="N153">
        <v>467.01</v>
      </c>
      <c r="O153">
        <v>1401.0300000000002</v>
      </c>
      <c r="P153" t="s">
        <v>385</v>
      </c>
    </row>
    <row r="154" spans="1:16" x14ac:dyDescent="0.35">
      <c r="A154" s="14">
        <v>46070</v>
      </c>
      <c r="B154" t="s">
        <v>210</v>
      </c>
      <c r="C154" t="s">
        <v>32</v>
      </c>
      <c r="D154" t="s">
        <v>33</v>
      </c>
      <c r="E154" t="s">
        <v>38</v>
      </c>
      <c r="F154">
        <v>1</v>
      </c>
      <c r="G154">
        <v>1210.99</v>
      </c>
      <c r="H154">
        <v>707</v>
      </c>
      <c r="I154">
        <v>8</v>
      </c>
      <c r="J154" t="s">
        <v>364</v>
      </c>
      <c r="K154" t="s">
        <v>365</v>
      </c>
      <c r="L154">
        <v>720</v>
      </c>
      <c r="M154" t="s">
        <v>383</v>
      </c>
      <c r="N154">
        <v>490.99</v>
      </c>
      <c r="O154">
        <v>490.99</v>
      </c>
      <c r="P154" t="s">
        <v>384</v>
      </c>
    </row>
    <row r="155" spans="1:16" x14ac:dyDescent="0.35">
      <c r="A155" s="14">
        <v>46070</v>
      </c>
      <c r="B155" t="s">
        <v>211</v>
      </c>
      <c r="C155" t="s">
        <v>79</v>
      </c>
      <c r="D155" t="s">
        <v>80</v>
      </c>
      <c r="E155" t="s">
        <v>34</v>
      </c>
      <c r="F155">
        <v>2</v>
      </c>
      <c r="G155">
        <v>898</v>
      </c>
      <c r="H155">
        <v>772</v>
      </c>
      <c r="I155">
        <v>10</v>
      </c>
      <c r="J155" t="s">
        <v>371</v>
      </c>
      <c r="K155" t="s">
        <v>369</v>
      </c>
      <c r="L155">
        <v>220</v>
      </c>
      <c r="M155" t="s">
        <v>383</v>
      </c>
      <c r="N155">
        <v>229</v>
      </c>
      <c r="O155">
        <v>458</v>
      </c>
      <c r="P155" t="s">
        <v>384</v>
      </c>
    </row>
    <row r="156" spans="1:16" x14ac:dyDescent="0.35">
      <c r="A156" s="14">
        <v>46070</v>
      </c>
      <c r="B156" t="s">
        <v>212</v>
      </c>
      <c r="C156" t="s">
        <v>73</v>
      </c>
      <c r="D156" t="s">
        <v>74</v>
      </c>
      <c r="E156" t="s">
        <v>42</v>
      </c>
      <c r="F156">
        <v>4</v>
      </c>
      <c r="G156">
        <v>3956.04</v>
      </c>
      <c r="H156">
        <v>1034</v>
      </c>
      <c r="I156">
        <v>12</v>
      </c>
      <c r="J156" t="s">
        <v>367</v>
      </c>
      <c r="K156" t="s">
        <v>368</v>
      </c>
      <c r="L156">
        <v>640</v>
      </c>
      <c r="M156" t="s">
        <v>383</v>
      </c>
      <c r="N156">
        <v>349.01</v>
      </c>
      <c r="O156">
        <v>1396.04</v>
      </c>
      <c r="P156" t="s">
        <v>385</v>
      </c>
    </row>
    <row r="157" spans="1:16" x14ac:dyDescent="0.35">
      <c r="A157" s="14">
        <v>46071</v>
      </c>
      <c r="B157" t="s">
        <v>213</v>
      </c>
      <c r="C157" t="s">
        <v>36</v>
      </c>
      <c r="D157" t="s">
        <v>37</v>
      </c>
      <c r="E157" t="s">
        <v>52</v>
      </c>
      <c r="F157">
        <v>1</v>
      </c>
      <c r="G157">
        <v>38.22</v>
      </c>
      <c r="H157">
        <v>2350</v>
      </c>
      <c r="I157">
        <v>18</v>
      </c>
      <c r="J157" t="s">
        <v>373</v>
      </c>
      <c r="K157" t="s">
        <v>375</v>
      </c>
      <c r="L157">
        <v>15</v>
      </c>
      <c r="M157" t="s">
        <v>383</v>
      </c>
      <c r="N157">
        <v>23.22</v>
      </c>
      <c r="O157">
        <v>23.22</v>
      </c>
      <c r="P157" t="s">
        <v>384</v>
      </c>
    </row>
    <row r="158" spans="1:16" x14ac:dyDescent="0.35">
      <c r="A158" s="14">
        <v>46071</v>
      </c>
      <c r="B158" t="s">
        <v>214</v>
      </c>
      <c r="C158" t="s">
        <v>40</v>
      </c>
      <c r="D158" t="s">
        <v>41</v>
      </c>
      <c r="E158" t="s">
        <v>34</v>
      </c>
      <c r="F158">
        <v>3</v>
      </c>
      <c r="G158">
        <v>4197</v>
      </c>
      <c r="H158">
        <v>771</v>
      </c>
      <c r="I158">
        <v>8</v>
      </c>
      <c r="J158" t="s">
        <v>364</v>
      </c>
      <c r="K158" t="s">
        <v>366</v>
      </c>
      <c r="L158">
        <v>860</v>
      </c>
      <c r="M158" t="s">
        <v>383</v>
      </c>
      <c r="N158">
        <v>539</v>
      </c>
      <c r="O158">
        <v>1617</v>
      </c>
      <c r="P158" t="s">
        <v>385</v>
      </c>
    </row>
    <row r="159" spans="1:16" x14ac:dyDescent="0.35">
      <c r="A159" s="14">
        <v>46071</v>
      </c>
      <c r="B159" t="s">
        <v>215</v>
      </c>
      <c r="C159" t="s">
        <v>55</v>
      </c>
      <c r="D159" t="s">
        <v>56</v>
      </c>
      <c r="E159" t="s">
        <v>42</v>
      </c>
      <c r="F159">
        <v>3</v>
      </c>
      <c r="G159">
        <v>264.33</v>
      </c>
      <c r="H159">
        <v>1374</v>
      </c>
      <c r="I159">
        <v>14</v>
      </c>
      <c r="J159" t="s">
        <v>376</v>
      </c>
      <c r="K159" t="s">
        <v>375</v>
      </c>
      <c r="L159">
        <v>34</v>
      </c>
      <c r="M159" t="s">
        <v>383</v>
      </c>
      <c r="N159">
        <v>54.11</v>
      </c>
      <c r="O159">
        <v>162.32999999999998</v>
      </c>
      <c r="P159" t="s">
        <v>384</v>
      </c>
    </row>
    <row r="160" spans="1:16" x14ac:dyDescent="0.35">
      <c r="A160" s="14">
        <v>46072</v>
      </c>
      <c r="B160" t="s">
        <v>216</v>
      </c>
      <c r="C160" t="s">
        <v>47</v>
      </c>
      <c r="D160" t="s">
        <v>48</v>
      </c>
      <c r="E160" t="s">
        <v>38</v>
      </c>
      <c r="F160">
        <v>6</v>
      </c>
      <c r="G160">
        <v>357.54</v>
      </c>
      <c r="H160">
        <v>2442</v>
      </c>
      <c r="I160">
        <v>18</v>
      </c>
      <c r="J160" t="s">
        <v>373</v>
      </c>
      <c r="K160" t="s">
        <v>375</v>
      </c>
      <c r="L160">
        <v>22</v>
      </c>
      <c r="M160" t="s">
        <v>383</v>
      </c>
      <c r="N160">
        <v>37.590000000000003</v>
      </c>
      <c r="O160">
        <v>225.54000000000002</v>
      </c>
      <c r="P160" t="s">
        <v>384</v>
      </c>
    </row>
    <row r="161" spans="1:16" x14ac:dyDescent="0.35">
      <c r="A161" s="14">
        <v>46072</v>
      </c>
      <c r="B161" t="s">
        <v>217</v>
      </c>
      <c r="C161" t="s">
        <v>73</v>
      </c>
      <c r="D161" t="s">
        <v>74</v>
      </c>
      <c r="E161" t="s">
        <v>34</v>
      </c>
      <c r="F161">
        <v>1</v>
      </c>
      <c r="G161">
        <v>999</v>
      </c>
      <c r="H161">
        <v>1034</v>
      </c>
      <c r="I161">
        <v>12</v>
      </c>
      <c r="J161" t="s">
        <v>367</v>
      </c>
      <c r="K161" t="s">
        <v>368</v>
      </c>
      <c r="L161">
        <v>640</v>
      </c>
      <c r="M161" t="s">
        <v>383</v>
      </c>
      <c r="N161">
        <v>359</v>
      </c>
      <c r="O161">
        <v>359</v>
      </c>
      <c r="P161" t="s">
        <v>384</v>
      </c>
    </row>
    <row r="162" spans="1:16" x14ac:dyDescent="0.35">
      <c r="A162" s="14">
        <v>46072</v>
      </c>
      <c r="B162" t="s">
        <v>218</v>
      </c>
      <c r="C162" t="s">
        <v>73</v>
      </c>
      <c r="D162" t="s">
        <v>74</v>
      </c>
      <c r="E162" t="s">
        <v>38</v>
      </c>
      <c r="F162">
        <v>3</v>
      </c>
      <c r="G162">
        <v>3026.97</v>
      </c>
      <c r="H162">
        <v>1034</v>
      </c>
      <c r="I162">
        <v>12</v>
      </c>
      <c r="J162" t="s">
        <v>367</v>
      </c>
      <c r="K162" t="s">
        <v>368</v>
      </c>
      <c r="L162">
        <v>640</v>
      </c>
      <c r="M162" t="s">
        <v>383</v>
      </c>
      <c r="N162">
        <v>368.9899999999999</v>
      </c>
      <c r="O162">
        <v>1106.9699999999998</v>
      </c>
      <c r="P162" t="s">
        <v>385</v>
      </c>
    </row>
    <row r="163" spans="1:16" x14ac:dyDescent="0.35">
      <c r="A163" s="14">
        <v>46072</v>
      </c>
      <c r="B163" t="s">
        <v>219</v>
      </c>
      <c r="C163" t="s">
        <v>44</v>
      </c>
      <c r="D163" t="s">
        <v>45</v>
      </c>
      <c r="E163" t="s">
        <v>38</v>
      </c>
      <c r="F163">
        <v>4</v>
      </c>
      <c r="G163">
        <v>2217.96</v>
      </c>
      <c r="H163">
        <v>1008</v>
      </c>
      <c r="I163">
        <v>12</v>
      </c>
      <c r="J163" t="s">
        <v>367</v>
      </c>
      <c r="K163" t="s">
        <v>369</v>
      </c>
      <c r="L163">
        <v>280</v>
      </c>
      <c r="M163" t="s">
        <v>383</v>
      </c>
      <c r="N163">
        <v>274.49</v>
      </c>
      <c r="O163">
        <v>1097.96</v>
      </c>
      <c r="P163" t="s">
        <v>385</v>
      </c>
    </row>
    <row r="164" spans="1:16" x14ac:dyDescent="0.35">
      <c r="A164" s="14">
        <v>46073</v>
      </c>
      <c r="B164" t="s">
        <v>220</v>
      </c>
      <c r="C164" t="s">
        <v>47</v>
      </c>
      <c r="D164" t="s">
        <v>48</v>
      </c>
      <c r="E164" t="s">
        <v>38</v>
      </c>
      <c r="F164">
        <v>1</v>
      </c>
      <c r="G164">
        <v>59.59</v>
      </c>
      <c r="H164">
        <v>2442</v>
      </c>
      <c r="I164">
        <v>18</v>
      </c>
      <c r="J164" t="s">
        <v>373</v>
      </c>
      <c r="K164" t="s">
        <v>375</v>
      </c>
      <c r="L164">
        <v>22</v>
      </c>
      <c r="M164" t="s">
        <v>383</v>
      </c>
      <c r="N164">
        <v>37.590000000000003</v>
      </c>
      <c r="O164">
        <v>37.590000000000003</v>
      </c>
      <c r="P164" t="s">
        <v>384</v>
      </c>
    </row>
    <row r="165" spans="1:16" x14ac:dyDescent="0.35">
      <c r="A165" s="14">
        <v>46073</v>
      </c>
      <c r="B165" t="s">
        <v>221</v>
      </c>
      <c r="C165" t="s">
        <v>36</v>
      </c>
      <c r="D165" t="s">
        <v>37</v>
      </c>
      <c r="E165" t="s">
        <v>52</v>
      </c>
      <c r="F165">
        <v>1</v>
      </c>
      <c r="G165">
        <v>38.22</v>
      </c>
      <c r="H165">
        <v>2350</v>
      </c>
      <c r="I165">
        <v>18</v>
      </c>
      <c r="J165" t="s">
        <v>373</v>
      </c>
      <c r="K165" t="s">
        <v>375</v>
      </c>
      <c r="L165">
        <v>15</v>
      </c>
      <c r="M165" t="s">
        <v>383</v>
      </c>
      <c r="N165">
        <v>23.22</v>
      </c>
      <c r="O165">
        <v>23.22</v>
      </c>
      <c r="P165" t="s">
        <v>384</v>
      </c>
    </row>
    <row r="166" spans="1:16" x14ac:dyDescent="0.35">
      <c r="A166" s="14">
        <v>46073</v>
      </c>
      <c r="B166" t="s">
        <v>222</v>
      </c>
      <c r="C166" t="s">
        <v>32</v>
      </c>
      <c r="D166" t="s">
        <v>33</v>
      </c>
      <c r="E166" t="s">
        <v>42</v>
      </c>
      <c r="F166">
        <v>3</v>
      </c>
      <c r="G166">
        <v>3561.03</v>
      </c>
      <c r="H166">
        <v>707</v>
      </c>
      <c r="I166">
        <v>8</v>
      </c>
      <c r="J166" t="s">
        <v>364</v>
      </c>
      <c r="K166" t="s">
        <v>365</v>
      </c>
      <c r="L166">
        <v>720</v>
      </c>
      <c r="M166" t="s">
        <v>383</v>
      </c>
      <c r="N166">
        <v>467.01</v>
      </c>
      <c r="O166">
        <v>1401.0300000000002</v>
      </c>
      <c r="P166" t="s">
        <v>385</v>
      </c>
    </row>
    <row r="167" spans="1:16" x14ac:dyDescent="0.35">
      <c r="A167" s="14">
        <v>46074</v>
      </c>
      <c r="B167" t="s">
        <v>223</v>
      </c>
      <c r="C167" t="s">
        <v>60</v>
      </c>
      <c r="D167" t="s">
        <v>61</v>
      </c>
      <c r="E167" t="s">
        <v>38</v>
      </c>
      <c r="F167">
        <v>1</v>
      </c>
      <c r="G167">
        <v>332.29</v>
      </c>
      <c r="H167">
        <v>802</v>
      </c>
      <c r="I167">
        <v>10</v>
      </c>
      <c r="J167" t="s">
        <v>371</v>
      </c>
      <c r="K167" t="s">
        <v>372</v>
      </c>
      <c r="L167">
        <v>155</v>
      </c>
      <c r="M167" t="s">
        <v>383</v>
      </c>
      <c r="N167">
        <v>177.29000000000002</v>
      </c>
      <c r="O167">
        <v>177.29000000000002</v>
      </c>
      <c r="P167" t="s">
        <v>384</v>
      </c>
    </row>
    <row r="168" spans="1:16" x14ac:dyDescent="0.35">
      <c r="A168" s="14">
        <v>46074</v>
      </c>
      <c r="B168" t="s">
        <v>224</v>
      </c>
      <c r="C168" t="s">
        <v>47</v>
      </c>
      <c r="D168" t="s">
        <v>48</v>
      </c>
      <c r="E168" t="s">
        <v>38</v>
      </c>
      <c r="F168">
        <v>1</v>
      </c>
      <c r="G168">
        <v>59.59</v>
      </c>
      <c r="H168">
        <v>2442</v>
      </c>
      <c r="I168">
        <v>18</v>
      </c>
      <c r="J168" t="s">
        <v>373</v>
      </c>
      <c r="K168" t="s">
        <v>375</v>
      </c>
      <c r="L168">
        <v>22</v>
      </c>
      <c r="M168" t="s">
        <v>383</v>
      </c>
      <c r="N168">
        <v>37.590000000000003</v>
      </c>
      <c r="O168">
        <v>37.590000000000003</v>
      </c>
      <c r="P168" t="s">
        <v>384</v>
      </c>
    </row>
    <row r="169" spans="1:16" x14ac:dyDescent="0.35">
      <c r="A169" s="14">
        <v>46074</v>
      </c>
      <c r="B169" t="s">
        <v>225</v>
      </c>
      <c r="C169" t="s">
        <v>36</v>
      </c>
      <c r="D169" t="s">
        <v>37</v>
      </c>
      <c r="E169" t="s">
        <v>52</v>
      </c>
      <c r="F169">
        <v>3</v>
      </c>
      <c r="G169">
        <v>114.66</v>
      </c>
      <c r="H169">
        <v>2350</v>
      </c>
      <c r="I169">
        <v>18</v>
      </c>
      <c r="J169" t="s">
        <v>373</v>
      </c>
      <c r="K169" t="s">
        <v>375</v>
      </c>
      <c r="L169">
        <v>15</v>
      </c>
      <c r="M169" t="s">
        <v>383</v>
      </c>
      <c r="N169">
        <v>23.22</v>
      </c>
      <c r="O169">
        <v>69.66</v>
      </c>
      <c r="P169" t="s">
        <v>384</v>
      </c>
    </row>
    <row r="170" spans="1:16" x14ac:dyDescent="0.35">
      <c r="A170" s="14">
        <v>46075</v>
      </c>
      <c r="B170" t="s">
        <v>226</v>
      </c>
      <c r="C170" t="s">
        <v>55</v>
      </c>
      <c r="D170" t="s">
        <v>56</v>
      </c>
      <c r="E170" t="s">
        <v>52</v>
      </c>
      <c r="F170">
        <v>2</v>
      </c>
      <c r="G170">
        <v>174.44</v>
      </c>
      <c r="H170">
        <v>1374</v>
      </c>
      <c r="I170">
        <v>14</v>
      </c>
      <c r="J170" t="s">
        <v>376</v>
      </c>
      <c r="K170" t="s">
        <v>375</v>
      </c>
      <c r="L170">
        <v>34</v>
      </c>
      <c r="M170" t="s">
        <v>383</v>
      </c>
      <c r="N170">
        <v>53.22</v>
      </c>
      <c r="O170">
        <v>106.44</v>
      </c>
      <c r="P170" t="s">
        <v>384</v>
      </c>
    </row>
    <row r="171" spans="1:16" x14ac:dyDescent="0.35">
      <c r="A171" s="14">
        <v>46075</v>
      </c>
      <c r="B171" t="s">
        <v>227</v>
      </c>
      <c r="C171" t="s">
        <v>60</v>
      </c>
      <c r="D171" t="s">
        <v>61</v>
      </c>
      <c r="E171" t="s">
        <v>42</v>
      </c>
      <c r="F171">
        <v>2</v>
      </c>
      <c r="G171">
        <v>651.41999999999996</v>
      </c>
      <c r="H171">
        <v>802</v>
      </c>
      <c r="I171">
        <v>10</v>
      </c>
      <c r="J171" t="s">
        <v>371</v>
      </c>
      <c r="K171" t="s">
        <v>372</v>
      </c>
      <c r="L171">
        <v>155</v>
      </c>
      <c r="M171" t="s">
        <v>383</v>
      </c>
      <c r="N171">
        <v>170.70999999999998</v>
      </c>
      <c r="O171">
        <v>341.41999999999996</v>
      </c>
      <c r="P171" t="s">
        <v>384</v>
      </c>
    </row>
    <row r="172" spans="1:16" x14ac:dyDescent="0.35">
      <c r="A172" s="14">
        <v>46076</v>
      </c>
      <c r="B172" t="s">
        <v>228</v>
      </c>
      <c r="C172" t="s">
        <v>83</v>
      </c>
      <c r="D172" t="s">
        <v>84</v>
      </c>
      <c r="E172" t="s">
        <v>52</v>
      </c>
      <c r="F172">
        <v>1</v>
      </c>
      <c r="G172">
        <v>116.62</v>
      </c>
      <c r="H172">
        <v>1432</v>
      </c>
      <c r="I172">
        <v>14</v>
      </c>
      <c r="J172" t="s">
        <v>376</v>
      </c>
      <c r="K172" t="s">
        <v>377</v>
      </c>
      <c r="L172">
        <v>48</v>
      </c>
      <c r="M172" t="s">
        <v>383</v>
      </c>
      <c r="N172">
        <v>68.62</v>
      </c>
      <c r="O172">
        <v>68.62</v>
      </c>
      <c r="P172" t="s">
        <v>384</v>
      </c>
    </row>
    <row r="173" spans="1:16" x14ac:dyDescent="0.35">
      <c r="A173" s="14">
        <v>46076</v>
      </c>
      <c r="B173" t="s">
        <v>229</v>
      </c>
      <c r="C173" t="s">
        <v>55</v>
      </c>
      <c r="D173" t="s">
        <v>56</v>
      </c>
      <c r="E173" t="s">
        <v>38</v>
      </c>
      <c r="F173">
        <v>5</v>
      </c>
      <c r="G173">
        <v>449.45</v>
      </c>
      <c r="H173">
        <v>1374</v>
      </c>
      <c r="I173">
        <v>14</v>
      </c>
      <c r="J173" t="s">
        <v>376</v>
      </c>
      <c r="K173" t="s">
        <v>375</v>
      </c>
      <c r="L173">
        <v>34</v>
      </c>
      <c r="M173" t="s">
        <v>383</v>
      </c>
      <c r="N173">
        <v>55.89</v>
      </c>
      <c r="O173">
        <v>279.45</v>
      </c>
      <c r="P173" t="s">
        <v>384</v>
      </c>
    </row>
    <row r="174" spans="1:16" x14ac:dyDescent="0.35">
      <c r="A174" s="14">
        <v>46076</v>
      </c>
      <c r="B174" t="s">
        <v>230</v>
      </c>
      <c r="C174" t="s">
        <v>36</v>
      </c>
      <c r="D174" t="s">
        <v>37</v>
      </c>
      <c r="E174" t="s">
        <v>42</v>
      </c>
      <c r="F174">
        <v>4</v>
      </c>
      <c r="G174">
        <v>154.44</v>
      </c>
      <c r="H174">
        <v>2350</v>
      </c>
      <c r="I174">
        <v>18</v>
      </c>
      <c r="J174" t="s">
        <v>373</v>
      </c>
      <c r="K174" t="s">
        <v>375</v>
      </c>
      <c r="L174">
        <v>15</v>
      </c>
      <c r="M174" t="s">
        <v>383</v>
      </c>
      <c r="N174">
        <v>23.61</v>
      </c>
      <c r="O174">
        <v>94.44</v>
      </c>
      <c r="P174" t="s">
        <v>384</v>
      </c>
    </row>
    <row r="175" spans="1:16" x14ac:dyDescent="0.35">
      <c r="A175" s="14">
        <v>46077</v>
      </c>
      <c r="B175" t="s">
        <v>231</v>
      </c>
      <c r="C175" t="s">
        <v>44</v>
      </c>
      <c r="D175" t="s">
        <v>45</v>
      </c>
      <c r="E175" t="s">
        <v>52</v>
      </c>
      <c r="F175">
        <v>3</v>
      </c>
      <c r="G175">
        <v>1614.06</v>
      </c>
      <c r="H175">
        <v>1008</v>
      </c>
      <c r="I175">
        <v>12</v>
      </c>
      <c r="J175" t="s">
        <v>367</v>
      </c>
      <c r="K175" t="s">
        <v>369</v>
      </c>
      <c r="L175">
        <v>280</v>
      </c>
      <c r="M175" t="s">
        <v>383</v>
      </c>
      <c r="N175">
        <v>258.02</v>
      </c>
      <c r="O175">
        <v>774.06</v>
      </c>
      <c r="P175" t="s">
        <v>384</v>
      </c>
    </row>
    <row r="176" spans="1:16" x14ac:dyDescent="0.35">
      <c r="A176" s="14">
        <v>46077</v>
      </c>
      <c r="B176" t="s">
        <v>232</v>
      </c>
      <c r="C176" t="s">
        <v>50</v>
      </c>
      <c r="D176" t="s">
        <v>51</v>
      </c>
      <c r="E176" t="s">
        <v>42</v>
      </c>
      <c r="F176">
        <v>4</v>
      </c>
      <c r="G176">
        <v>510.84</v>
      </c>
      <c r="H176">
        <v>2550</v>
      </c>
      <c r="I176">
        <v>18</v>
      </c>
      <c r="J176" t="s">
        <v>373</v>
      </c>
      <c r="K176" t="s">
        <v>374</v>
      </c>
      <c r="L176">
        <v>58</v>
      </c>
      <c r="M176" t="s">
        <v>383</v>
      </c>
      <c r="N176">
        <v>69.709999999999994</v>
      </c>
      <c r="O176">
        <v>278.83999999999997</v>
      </c>
      <c r="P176" t="s">
        <v>384</v>
      </c>
    </row>
    <row r="177" spans="1:16" x14ac:dyDescent="0.35">
      <c r="A177" s="14">
        <v>46077</v>
      </c>
      <c r="B177" t="s">
        <v>233</v>
      </c>
      <c r="C177" t="s">
        <v>44</v>
      </c>
      <c r="D177" t="s">
        <v>45</v>
      </c>
      <c r="E177" t="s">
        <v>52</v>
      </c>
      <c r="F177">
        <v>5</v>
      </c>
      <c r="G177">
        <v>2690.1</v>
      </c>
      <c r="H177">
        <v>1008</v>
      </c>
      <c r="I177">
        <v>12</v>
      </c>
      <c r="J177" t="s">
        <v>367</v>
      </c>
      <c r="K177" t="s">
        <v>369</v>
      </c>
      <c r="L177">
        <v>280</v>
      </c>
      <c r="M177" t="s">
        <v>383</v>
      </c>
      <c r="N177">
        <v>258.02</v>
      </c>
      <c r="O177">
        <v>1290.0999999999999</v>
      </c>
      <c r="P177" t="s">
        <v>385</v>
      </c>
    </row>
    <row r="178" spans="1:16" x14ac:dyDescent="0.35">
      <c r="A178" s="14">
        <v>46077</v>
      </c>
      <c r="B178" t="s">
        <v>234</v>
      </c>
      <c r="C178" t="s">
        <v>40</v>
      </c>
      <c r="D178" t="s">
        <v>41</v>
      </c>
      <c r="E178" t="s">
        <v>52</v>
      </c>
      <c r="F178">
        <v>1</v>
      </c>
      <c r="G178">
        <v>1371.02</v>
      </c>
      <c r="H178">
        <v>771</v>
      </c>
      <c r="I178">
        <v>8</v>
      </c>
      <c r="J178" t="s">
        <v>364</v>
      </c>
      <c r="K178" t="s">
        <v>366</v>
      </c>
      <c r="L178">
        <v>860</v>
      </c>
      <c r="M178" t="s">
        <v>383</v>
      </c>
      <c r="N178">
        <v>511.02</v>
      </c>
      <c r="O178">
        <v>511.02</v>
      </c>
      <c r="P178" t="s">
        <v>384</v>
      </c>
    </row>
    <row r="179" spans="1:16" x14ac:dyDescent="0.35">
      <c r="A179" s="14">
        <v>46078</v>
      </c>
      <c r="B179" t="s">
        <v>235</v>
      </c>
      <c r="C179" t="s">
        <v>47</v>
      </c>
      <c r="D179" t="s">
        <v>48</v>
      </c>
      <c r="E179" t="s">
        <v>42</v>
      </c>
      <c r="F179">
        <v>1</v>
      </c>
      <c r="G179">
        <v>58.41</v>
      </c>
      <c r="H179">
        <v>2442</v>
      </c>
      <c r="I179">
        <v>18</v>
      </c>
      <c r="J179" t="s">
        <v>373</v>
      </c>
      <c r="K179" t="s">
        <v>375</v>
      </c>
      <c r="L179">
        <v>22</v>
      </c>
      <c r="M179" t="s">
        <v>383</v>
      </c>
      <c r="N179">
        <v>36.409999999999997</v>
      </c>
      <c r="O179">
        <v>36.409999999999997</v>
      </c>
      <c r="P179" t="s">
        <v>384</v>
      </c>
    </row>
    <row r="180" spans="1:16" x14ac:dyDescent="0.35">
      <c r="A180" s="14">
        <v>46078</v>
      </c>
      <c r="B180" t="s">
        <v>236</v>
      </c>
      <c r="C180" t="s">
        <v>83</v>
      </c>
      <c r="D180" t="s">
        <v>84</v>
      </c>
      <c r="E180" t="s">
        <v>34</v>
      </c>
      <c r="F180">
        <v>1</v>
      </c>
      <c r="G180">
        <v>119</v>
      </c>
      <c r="H180">
        <v>1432</v>
      </c>
      <c r="I180">
        <v>14</v>
      </c>
      <c r="J180" t="s">
        <v>376</v>
      </c>
      <c r="K180" t="s">
        <v>377</v>
      </c>
      <c r="L180">
        <v>48</v>
      </c>
      <c r="M180" t="s">
        <v>383</v>
      </c>
      <c r="N180">
        <v>71</v>
      </c>
      <c r="O180">
        <v>71</v>
      </c>
      <c r="P180" t="s">
        <v>384</v>
      </c>
    </row>
    <row r="181" spans="1:16" x14ac:dyDescent="0.35">
      <c r="A181" s="14">
        <v>46078</v>
      </c>
      <c r="B181" t="s">
        <v>237</v>
      </c>
      <c r="C181" t="s">
        <v>36</v>
      </c>
      <c r="D181" t="s">
        <v>37</v>
      </c>
      <c r="E181" t="s">
        <v>42</v>
      </c>
      <c r="F181">
        <v>5</v>
      </c>
      <c r="G181">
        <v>193.05</v>
      </c>
      <c r="H181">
        <v>2350</v>
      </c>
      <c r="I181">
        <v>18</v>
      </c>
      <c r="J181" t="s">
        <v>373</v>
      </c>
      <c r="K181" t="s">
        <v>375</v>
      </c>
      <c r="L181">
        <v>15</v>
      </c>
      <c r="M181" t="s">
        <v>383</v>
      </c>
      <c r="N181">
        <v>23.61</v>
      </c>
      <c r="O181">
        <v>118.05000000000001</v>
      </c>
      <c r="P181" t="s">
        <v>384</v>
      </c>
    </row>
    <row r="182" spans="1:16" x14ac:dyDescent="0.35">
      <c r="A182" s="14">
        <v>46078</v>
      </c>
      <c r="B182" t="s">
        <v>238</v>
      </c>
      <c r="C182" t="s">
        <v>47</v>
      </c>
      <c r="D182" t="s">
        <v>48</v>
      </c>
      <c r="E182" t="s">
        <v>34</v>
      </c>
      <c r="F182">
        <v>1</v>
      </c>
      <c r="G182">
        <v>59</v>
      </c>
      <c r="H182">
        <v>2442</v>
      </c>
      <c r="I182">
        <v>18</v>
      </c>
      <c r="J182" t="s">
        <v>373</v>
      </c>
      <c r="K182" t="s">
        <v>375</v>
      </c>
      <c r="L182">
        <v>22</v>
      </c>
      <c r="M182" t="s">
        <v>383</v>
      </c>
      <c r="N182">
        <v>37</v>
      </c>
      <c r="O182">
        <v>37</v>
      </c>
      <c r="P182" t="s">
        <v>384</v>
      </c>
    </row>
    <row r="183" spans="1:16" x14ac:dyDescent="0.35">
      <c r="A183" s="14">
        <v>46079</v>
      </c>
      <c r="B183" t="s">
        <v>239</v>
      </c>
      <c r="C183" t="s">
        <v>40</v>
      </c>
      <c r="D183" t="s">
        <v>41</v>
      </c>
      <c r="E183" t="s">
        <v>38</v>
      </c>
      <c r="F183">
        <v>2</v>
      </c>
      <c r="G183">
        <v>2825.98</v>
      </c>
      <c r="H183">
        <v>771</v>
      </c>
      <c r="I183">
        <v>8</v>
      </c>
      <c r="J183" t="s">
        <v>364</v>
      </c>
      <c r="K183" t="s">
        <v>366</v>
      </c>
      <c r="L183">
        <v>860</v>
      </c>
      <c r="M183" t="s">
        <v>383</v>
      </c>
      <c r="N183">
        <v>552.99</v>
      </c>
      <c r="O183">
        <v>1105.98</v>
      </c>
      <c r="P183" t="s">
        <v>385</v>
      </c>
    </row>
    <row r="184" spans="1:16" x14ac:dyDescent="0.35">
      <c r="A184" s="14">
        <v>46079</v>
      </c>
      <c r="B184" t="s">
        <v>240</v>
      </c>
      <c r="C184" t="s">
        <v>36</v>
      </c>
      <c r="D184" t="s">
        <v>37</v>
      </c>
      <c r="E184" t="s">
        <v>38</v>
      </c>
      <c r="F184">
        <v>3</v>
      </c>
      <c r="G184">
        <v>118.17</v>
      </c>
      <c r="H184">
        <v>2350</v>
      </c>
      <c r="I184">
        <v>18</v>
      </c>
      <c r="J184" t="s">
        <v>373</v>
      </c>
      <c r="K184" t="s">
        <v>375</v>
      </c>
      <c r="L184">
        <v>15</v>
      </c>
      <c r="M184" t="s">
        <v>383</v>
      </c>
      <c r="N184">
        <v>24.39</v>
      </c>
      <c r="O184">
        <v>73.17</v>
      </c>
      <c r="P184" t="s">
        <v>384</v>
      </c>
    </row>
    <row r="185" spans="1:16" x14ac:dyDescent="0.35">
      <c r="A185" s="14">
        <v>46079</v>
      </c>
      <c r="B185" t="s">
        <v>241</v>
      </c>
      <c r="C185" t="s">
        <v>50</v>
      </c>
      <c r="D185" t="s">
        <v>51</v>
      </c>
      <c r="E185" t="s">
        <v>52</v>
      </c>
      <c r="F185">
        <v>1</v>
      </c>
      <c r="G185">
        <v>126.42</v>
      </c>
      <c r="H185">
        <v>2550</v>
      </c>
      <c r="I185">
        <v>18</v>
      </c>
      <c r="J185" t="s">
        <v>373</v>
      </c>
      <c r="K185" t="s">
        <v>374</v>
      </c>
      <c r="L185">
        <v>58</v>
      </c>
      <c r="M185" t="s">
        <v>383</v>
      </c>
      <c r="N185">
        <v>68.42</v>
      </c>
      <c r="O185">
        <v>68.42</v>
      </c>
      <c r="P185" t="s">
        <v>384</v>
      </c>
    </row>
    <row r="186" spans="1:16" x14ac:dyDescent="0.35">
      <c r="A186" s="14">
        <v>46079</v>
      </c>
      <c r="B186" t="s">
        <v>242</v>
      </c>
      <c r="C186" t="s">
        <v>44</v>
      </c>
      <c r="D186" t="s">
        <v>45</v>
      </c>
      <c r="E186" t="s">
        <v>38</v>
      </c>
      <c r="F186">
        <v>2</v>
      </c>
      <c r="G186">
        <v>1108.98</v>
      </c>
      <c r="H186">
        <v>1008</v>
      </c>
      <c r="I186">
        <v>12</v>
      </c>
      <c r="J186" t="s">
        <v>367</v>
      </c>
      <c r="K186" t="s">
        <v>369</v>
      </c>
      <c r="L186">
        <v>280</v>
      </c>
      <c r="M186" t="s">
        <v>383</v>
      </c>
      <c r="N186">
        <v>274.49</v>
      </c>
      <c r="O186">
        <v>548.98</v>
      </c>
      <c r="P186" t="s">
        <v>384</v>
      </c>
    </row>
    <row r="187" spans="1:16" x14ac:dyDescent="0.35">
      <c r="A187" s="14">
        <v>46080</v>
      </c>
      <c r="B187" t="s">
        <v>243</v>
      </c>
      <c r="C187" t="s">
        <v>79</v>
      </c>
      <c r="D187" t="s">
        <v>80</v>
      </c>
      <c r="E187" t="s">
        <v>42</v>
      </c>
      <c r="F187">
        <v>2</v>
      </c>
      <c r="G187">
        <v>889.02</v>
      </c>
      <c r="H187">
        <v>772</v>
      </c>
      <c r="I187">
        <v>10</v>
      </c>
      <c r="J187" t="s">
        <v>371</v>
      </c>
      <c r="K187" t="s">
        <v>369</v>
      </c>
      <c r="L187">
        <v>220</v>
      </c>
      <c r="M187" t="s">
        <v>383</v>
      </c>
      <c r="N187">
        <v>224.51</v>
      </c>
      <c r="O187">
        <v>449.02</v>
      </c>
      <c r="P187" t="s">
        <v>384</v>
      </c>
    </row>
    <row r="188" spans="1:16" x14ac:dyDescent="0.35">
      <c r="A188" s="14">
        <v>46080</v>
      </c>
      <c r="B188" t="s">
        <v>244</v>
      </c>
      <c r="C188" t="s">
        <v>36</v>
      </c>
      <c r="D188" t="s">
        <v>37</v>
      </c>
      <c r="E188" t="s">
        <v>42</v>
      </c>
      <c r="F188">
        <v>4</v>
      </c>
      <c r="G188">
        <v>154.44</v>
      </c>
      <c r="H188">
        <v>2350</v>
      </c>
      <c r="I188">
        <v>18</v>
      </c>
      <c r="J188" t="s">
        <v>373</v>
      </c>
      <c r="K188" t="s">
        <v>375</v>
      </c>
      <c r="L188">
        <v>15</v>
      </c>
      <c r="M188" t="s">
        <v>383</v>
      </c>
      <c r="N188">
        <v>23.61</v>
      </c>
      <c r="O188">
        <v>94.44</v>
      </c>
      <c r="P188" t="s">
        <v>384</v>
      </c>
    </row>
    <row r="189" spans="1:16" x14ac:dyDescent="0.35">
      <c r="A189" s="14">
        <v>46080</v>
      </c>
      <c r="B189" t="s">
        <v>245</v>
      </c>
      <c r="C189" t="s">
        <v>44</v>
      </c>
      <c r="D189" t="s">
        <v>45</v>
      </c>
      <c r="E189" t="s">
        <v>34</v>
      </c>
      <c r="F189">
        <v>1</v>
      </c>
      <c r="G189">
        <v>549</v>
      </c>
      <c r="H189">
        <v>1008</v>
      </c>
      <c r="I189">
        <v>12</v>
      </c>
      <c r="J189" t="s">
        <v>367</v>
      </c>
      <c r="K189" t="s">
        <v>369</v>
      </c>
      <c r="L189">
        <v>280</v>
      </c>
      <c r="M189" t="s">
        <v>383</v>
      </c>
      <c r="N189">
        <v>269</v>
      </c>
      <c r="O189">
        <v>269</v>
      </c>
      <c r="P189" t="s">
        <v>384</v>
      </c>
    </row>
    <row r="190" spans="1:16" x14ac:dyDescent="0.35">
      <c r="A190" s="14">
        <v>46080</v>
      </c>
      <c r="B190" t="s">
        <v>246</v>
      </c>
      <c r="C190" t="s">
        <v>73</v>
      </c>
      <c r="D190" t="s">
        <v>74</v>
      </c>
      <c r="E190" t="s">
        <v>34</v>
      </c>
      <c r="F190">
        <v>3</v>
      </c>
      <c r="G190">
        <v>2997</v>
      </c>
      <c r="H190">
        <v>1034</v>
      </c>
      <c r="I190">
        <v>12</v>
      </c>
      <c r="J190" t="s">
        <v>367</v>
      </c>
      <c r="K190" t="s">
        <v>368</v>
      </c>
      <c r="L190">
        <v>640</v>
      </c>
      <c r="M190" t="s">
        <v>383</v>
      </c>
      <c r="N190">
        <v>359</v>
      </c>
      <c r="O190">
        <v>1077</v>
      </c>
      <c r="P190" t="s">
        <v>385</v>
      </c>
    </row>
    <row r="191" spans="1:16" x14ac:dyDescent="0.35">
      <c r="A191" s="14">
        <v>46081</v>
      </c>
      <c r="B191" t="s">
        <v>247</v>
      </c>
      <c r="C191" t="s">
        <v>73</v>
      </c>
      <c r="D191" t="s">
        <v>74</v>
      </c>
      <c r="E191" t="s">
        <v>34</v>
      </c>
      <c r="F191">
        <v>2</v>
      </c>
      <c r="G191">
        <v>1998</v>
      </c>
      <c r="H191">
        <v>1034</v>
      </c>
      <c r="I191">
        <v>12</v>
      </c>
      <c r="J191" t="s">
        <v>367</v>
      </c>
      <c r="K191" t="s">
        <v>368</v>
      </c>
      <c r="L191">
        <v>640</v>
      </c>
      <c r="M191" t="s">
        <v>383</v>
      </c>
      <c r="N191">
        <v>359</v>
      </c>
      <c r="O191">
        <v>718</v>
      </c>
      <c r="P191" t="s">
        <v>384</v>
      </c>
    </row>
    <row r="192" spans="1:16" x14ac:dyDescent="0.35">
      <c r="A192" s="14">
        <v>46081</v>
      </c>
      <c r="B192" t="s">
        <v>248</v>
      </c>
      <c r="C192" t="s">
        <v>36</v>
      </c>
      <c r="D192" t="s">
        <v>37</v>
      </c>
      <c r="E192" t="s">
        <v>52</v>
      </c>
      <c r="F192">
        <v>3</v>
      </c>
      <c r="G192">
        <v>114.66</v>
      </c>
      <c r="H192">
        <v>2350</v>
      </c>
      <c r="I192">
        <v>18</v>
      </c>
      <c r="J192" t="s">
        <v>373</v>
      </c>
      <c r="K192" t="s">
        <v>375</v>
      </c>
      <c r="L192">
        <v>15</v>
      </c>
      <c r="M192" t="s">
        <v>383</v>
      </c>
      <c r="N192">
        <v>23.22</v>
      </c>
      <c r="O192">
        <v>69.66</v>
      </c>
      <c r="P192" t="s">
        <v>384</v>
      </c>
    </row>
    <row r="193" spans="1:16" x14ac:dyDescent="0.35">
      <c r="A193" s="14">
        <v>46081</v>
      </c>
      <c r="B193" t="s">
        <v>249</v>
      </c>
      <c r="C193" t="s">
        <v>44</v>
      </c>
      <c r="D193" t="s">
        <v>45</v>
      </c>
      <c r="E193" t="s">
        <v>34</v>
      </c>
      <c r="F193">
        <v>1</v>
      </c>
      <c r="G193">
        <v>549</v>
      </c>
      <c r="H193">
        <v>1008</v>
      </c>
      <c r="I193">
        <v>12</v>
      </c>
      <c r="J193" t="s">
        <v>367</v>
      </c>
      <c r="K193" t="s">
        <v>369</v>
      </c>
      <c r="L193">
        <v>280</v>
      </c>
      <c r="M193" t="s">
        <v>383</v>
      </c>
      <c r="N193">
        <v>269</v>
      </c>
      <c r="O193">
        <v>269</v>
      </c>
      <c r="P193" t="s">
        <v>384</v>
      </c>
    </row>
    <row r="194" spans="1:16" x14ac:dyDescent="0.35">
      <c r="A194" s="14">
        <v>46082</v>
      </c>
      <c r="B194" t="s">
        <v>250</v>
      </c>
      <c r="C194" t="s">
        <v>73</v>
      </c>
      <c r="D194" t="s">
        <v>74</v>
      </c>
      <c r="E194" t="s">
        <v>34</v>
      </c>
      <c r="F194">
        <v>3</v>
      </c>
      <c r="G194">
        <v>2997</v>
      </c>
      <c r="H194">
        <v>1034</v>
      </c>
      <c r="I194">
        <v>12</v>
      </c>
      <c r="J194" t="s">
        <v>367</v>
      </c>
      <c r="K194" t="s">
        <v>368</v>
      </c>
      <c r="L194">
        <v>640</v>
      </c>
      <c r="M194" t="s">
        <v>383</v>
      </c>
      <c r="N194">
        <v>359</v>
      </c>
      <c r="O194">
        <v>1077</v>
      </c>
      <c r="P194" t="s">
        <v>385</v>
      </c>
    </row>
    <row r="195" spans="1:16" x14ac:dyDescent="0.35">
      <c r="A195" s="14">
        <v>46082</v>
      </c>
      <c r="B195" t="s">
        <v>251</v>
      </c>
      <c r="C195" t="s">
        <v>44</v>
      </c>
      <c r="D195" t="s">
        <v>45</v>
      </c>
      <c r="E195" t="s">
        <v>52</v>
      </c>
      <c r="F195">
        <v>3</v>
      </c>
      <c r="G195">
        <v>1614.06</v>
      </c>
      <c r="H195">
        <v>1008</v>
      </c>
      <c r="I195">
        <v>12</v>
      </c>
      <c r="J195" t="s">
        <v>367</v>
      </c>
      <c r="K195" t="s">
        <v>369</v>
      </c>
      <c r="L195">
        <v>280</v>
      </c>
      <c r="M195" t="s">
        <v>383</v>
      </c>
      <c r="N195">
        <v>258.02</v>
      </c>
      <c r="O195">
        <v>774.06</v>
      </c>
      <c r="P195" t="s">
        <v>384</v>
      </c>
    </row>
    <row r="196" spans="1:16" x14ac:dyDescent="0.35">
      <c r="A196" s="14">
        <v>46083</v>
      </c>
      <c r="B196" t="s">
        <v>252</v>
      </c>
      <c r="C196" t="s">
        <v>73</v>
      </c>
      <c r="D196" t="s">
        <v>74</v>
      </c>
      <c r="E196" t="s">
        <v>52</v>
      </c>
      <c r="F196">
        <v>2</v>
      </c>
      <c r="G196">
        <v>1958.04</v>
      </c>
      <c r="H196">
        <v>1034</v>
      </c>
      <c r="I196">
        <v>12</v>
      </c>
      <c r="J196" t="s">
        <v>367</v>
      </c>
      <c r="K196" t="s">
        <v>368</v>
      </c>
      <c r="L196">
        <v>640</v>
      </c>
      <c r="M196" t="s">
        <v>383</v>
      </c>
      <c r="N196">
        <v>339.02</v>
      </c>
      <c r="O196">
        <v>678.04</v>
      </c>
      <c r="P196" t="s">
        <v>384</v>
      </c>
    </row>
    <row r="197" spans="1:16" x14ac:dyDescent="0.35">
      <c r="A197" s="14">
        <v>46083</v>
      </c>
      <c r="B197" t="s">
        <v>253</v>
      </c>
      <c r="C197" t="s">
        <v>83</v>
      </c>
      <c r="D197" t="s">
        <v>84</v>
      </c>
      <c r="E197" t="s">
        <v>38</v>
      </c>
      <c r="F197">
        <v>2</v>
      </c>
      <c r="G197">
        <v>240.38</v>
      </c>
      <c r="H197">
        <v>1432</v>
      </c>
      <c r="I197">
        <v>14</v>
      </c>
      <c r="J197" t="s">
        <v>376</v>
      </c>
      <c r="K197" t="s">
        <v>377</v>
      </c>
      <c r="L197">
        <v>48</v>
      </c>
      <c r="M197" t="s">
        <v>383</v>
      </c>
      <c r="N197">
        <v>72.19</v>
      </c>
      <c r="O197">
        <v>144.38</v>
      </c>
      <c r="P197" t="s">
        <v>384</v>
      </c>
    </row>
    <row r="198" spans="1:16" x14ac:dyDescent="0.35">
      <c r="A198" s="14">
        <v>46083</v>
      </c>
      <c r="B198" t="s">
        <v>254</v>
      </c>
      <c r="C198" t="s">
        <v>79</v>
      </c>
      <c r="D198" t="s">
        <v>80</v>
      </c>
      <c r="E198" t="s">
        <v>34</v>
      </c>
      <c r="F198">
        <v>1</v>
      </c>
      <c r="G198">
        <v>449</v>
      </c>
      <c r="H198">
        <v>772</v>
      </c>
      <c r="I198">
        <v>10</v>
      </c>
      <c r="J198" t="s">
        <v>371</v>
      </c>
      <c r="K198" t="s">
        <v>369</v>
      </c>
      <c r="L198">
        <v>220</v>
      </c>
      <c r="M198" t="s">
        <v>383</v>
      </c>
      <c r="N198">
        <v>229</v>
      </c>
      <c r="O198">
        <v>229</v>
      </c>
      <c r="P198" t="s">
        <v>384</v>
      </c>
    </row>
    <row r="199" spans="1:16" x14ac:dyDescent="0.35">
      <c r="A199" s="14">
        <v>46083</v>
      </c>
      <c r="B199" t="s">
        <v>255</v>
      </c>
      <c r="C199" t="s">
        <v>55</v>
      </c>
      <c r="D199" t="s">
        <v>56</v>
      </c>
      <c r="E199" t="s">
        <v>42</v>
      </c>
      <c r="F199">
        <v>5</v>
      </c>
      <c r="G199">
        <v>440.55</v>
      </c>
      <c r="H199">
        <v>1374</v>
      </c>
      <c r="I199">
        <v>14</v>
      </c>
      <c r="J199" t="s">
        <v>376</v>
      </c>
      <c r="K199" t="s">
        <v>375</v>
      </c>
      <c r="L199">
        <v>34</v>
      </c>
      <c r="M199" t="s">
        <v>383</v>
      </c>
      <c r="N199">
        <v>54.11</v>
      </c>
      <c r="O199">
        <v>270.55</v>
      </c>
      <c r="P199" t="s">
        <v>384</v>
      </c>
    </row>
    <row r="200" spans="1:16" x14ac:dyDescent="0.35">
      <c r="A200" s="14">
        <v>46084</v>
      </c>
      <c r="B200" t="s">
        <v>256</v>
      </c>
      <c r="C200" t="s">
        <v>32</v>
      </c>
      <c r="D200" t="s">
        <v>33</v>
      </c>
      <c r="E200" t="s">
        <v>38</v>
      </c>
      <c r="F200">
        <v>1</v>
      </c>
      <c r="G200">
        <v>1210.99</v>
      </c>
      <c r="H200">
        <v>707</v>
      </c>
      <c r="I200">
        <v>8</v>
      </c>
      <c r="J200" t="s">
        <v>364</v>
      </c>
      <c r="K200" t="s">
        <v>365</v>
      </c>
      <c r="L200">
        <v>720</v>
      </c>
      <c r="M200" t="s">
        <v>383</v>
      </c>
      <c r="N200">
        <v>490.99</v>
      </c>
      <c r="O200">
        <v>490.99</v>
      </c>
      <c r="P200" t="s">
        <v>384</v>
      </c>
    </row>
    <row r="201" spans="1:16" x14ac:dyDescent="0.35">
      <c r="A201" s="14">
        <v>46084</v>
      </c>
      <c r="B201" t="s">
        <v>257</v>
      </c>
      <c r="C201" t="s">
        <v>73</v>
      </c>
      <c r="D201" t="s">
        <v>74</v>
      </c>
      <c r="E201" t="s">
        <v>38</v>
      </c>
      <c r="F201">
        <v>2</v>
      </c>
      <c r="G201">
        <v>2017.98</v>
      </c>
      <c r="H201">
        <v>1034</v>
      </c>
      <c r="I201">
        <v>12</v>
      </c>
      <c r="J201" t="s">
        <v>367</v>
      </c>
      <c r="K201" t="s">
        <v>368</v>
      </c>
      <c r="L201">
        <v>640</v>
      </c>
      <c r="M201" t="s">
        <v>383</v>
      </c>
      <c r="N201">
        <v>368.99</v>
      </c>
      <c r="O201">
        <v>737.98</v>
      </c>
      <c r="P201" t="s">
        <v>385</v>
      </c>
    </row>
    <row r="202" spans="1:16" x14ac:dyDescent="0.35">
      <c r="A202" s="14">
        <v>46084</v>
      </c>
      <c r="B202" t="s">
        <v>258</v>
      </c>
      <c r="C202" t="s">
        <v>55</v>
      </c>
      <c r="D202" t="s">
        <v>56</v>
      </c>
      <c r="E202" t="s">
        <v>34</v>
      </c>
      <c r="F202">
        <v>4</v>
      </c>
      <c r="G202">
        <v>356</v>
      </c>
      <c r="H202">
        <v>1374</v>
      </c>
      <c r="I202">
        <v>14</v>
      </c>
      <c r="J202" t="s">
        <v>376</v>
      </c>
      <c r="K202" t="s">
        <v>375</v>
      </c>
      <c r="L202">
        <v>34</v>
      </c>
      <c r="M202" t="s">
        <v>383</v>
      </c>
      <c r="N202">
        <v>55</v>
      </c>
      <c r="O202">
        <v>220</v>
      </c>
      <c r="P202" t="s">
        <v>384</v>
      </c>
    </row>
    <row r="203" spans="1:16" x14ac:dyDescent="0.35">
      <c r="A203" s="14">
        <v>46085</v>
      </c>
      <c r="B203" t="s">
        <v>259</v>
      </c>
      <c r="C203" t="s">
        <v>36</v>
      </c>
      <c r="D203" t="s">
        <v>37</v>
      </c>
      <c r="E203" t="s">
        <v>34</v>
      </c>
      <c r="F203">
        <v>3</v>
      </c>
      <c r="G203">
        <v>117</v>
      </c>
      <c r="H203">
        <v>2350</v>
      </c>
      <c r="I203">
        <v>18</v>
      </c>
      <c r="J203" t="s">
        <v>373</v>
      </c>
      <c r="K203" t="s">
        <v>375</v>
      </c>
      <c r="L203">
        <v>15</v>
      </c>
      <c r="M203" t="s">
        <v>383</v>
      </c>
      <c r="N203">
        <v>24</v>
      </c>
      <c r="O203">
        <v>72</v>
      </c>
      <c r="P203" t="s">
        <v>384</v>
      </c>
    </row>
    <row r="204" spans="1:16" x14ac:dyDescent="0.35">
      <c r="A204" s="14">
        <v>46085</v>
      </c>
      <c r="B204" t="s">
        <v>260</v>
      </c>
      <c r="C204" t="s">
        <v>79</v>
      </c>
      <c r="D204" t="s">
        <v>80</v>
      </c>
      <c r="E204" t="s">
        <v>42</v>
      </c>
      <c r="F204">
        <v>5</v>
      </c>
      <c r="G204">
        <v>2222.5500000000002</v>
      </c>
      <c r="H204">
        <v>772</v>
      </c>
      <c r="I204">
        <v>10</v>
      </c>
      <c r="J204" t="s">
        <v>371</v>
      </c>
      <c r="K204" t="s">
        <v>369</v>
      </c>
      <c r="L204">
        <v>220</v>
      </c>
      <c r="M204" t="s">
        <v>383</v>
      </c>
      <c r="N204">
        <v>224.51000000000005</v>
      </c>
      <c r="O204">
        <v>1122.5500000000002</v>
      </c>
      <c r="P204" t="s">
        <v>385</v>
      </c>
    </row>
    <row r="205" spans="1:16" x14ac:dyDescent="0.35">
      <c r="A205" s="14">
        <v>46085</v>
      </c>
      <c r="B205" t="s">
        <v>261</v>
      </c>
      <c r="C205" t="s">
        <v>55</v>
      </c>
      <c r="D205" t="s">
        <v>56</v>
      </c>
      <c r="E205" t="s">
        <v>42</v>
      </c>
      <c r="F205">
        <v>3</v>
      </c>
      <c r="G205">
        <v>264.33</v>
      </c>
      <c r="H205">
        <v>1374</v>
      </c>
      <c r="I205">
        <v>14</v>
      </c>
      <c r="J205" t="s">
        <v>376</v>
      </c>
      <c r="K205" t="s">
        <v>375</v>
      </c>
      <c r="L205">
        <v>34</v>
      </c>
      <c r="M205" t="s">
        <v>383</v>
      </c>
      <c r="N205">
        <v>54.11</v>
      </c>
      <c r="O205">
        <v>162.32999999999998</v>
      </c>
      <c r="P205" t="s">
        <v>384</v>
      </c>
    </row>
    <row r="206" spans="1:16" x14ac:dyDescent="0.35">
      <c r="A206" s="14">
        <v>46085</v>
      </c>
      <c r="B206" t="s">
        <v>262</v>
      </c>
      <c r="C206" t="s">
        <v>47</v>
      </c>
      <c r="D206" t="s">
        <v>48</v>
      </c>
      <c r="E206" t="s">
        <v>38</v>
      </c>
      <c r="F206">
        <v>6</v>
      </c>
      <c r="G206">
        <v>357.54</v>
      </c>
      <c r="H206">
        <v>2442</v>
      </c>
      <c r="I206">
        <v>18</v>
      </c>
      <c r="J206" t="s">
        <v>373</v>
      </c>
      <c r="K206" t="s">
        <v>375</v>
      </c>
      <c r="L206">
        <v>22</v>
      </c>
      <c r="M206" t="s">
        <v>383</v>
      </c>
      <c r="N206">
        <v>37.590000000000003</v>
      </c>
      <c r="O206">
        <v>225.54000000000002</v>
      </c>
      <c r="P206" t="s">
        <v>384</v>
      </c>
    </row>
    <row r="207" spans="1:16" x14ac:dyDescent="0.35">
      <c r="A207" s="14">
        <v>46086</v>
      </c>
      <c r="B207" t="s">
        <v>263</v>
      </c>
      <c r="C207" t="s">
        <v>73</v>
      </c>
      <c r="D207" t="s">
        <v>74</v>
      </c>
      <c r="E207" t="s">
        <v>38</v>
      </c>
      <c r="F207">
        <v>1</v>
      </c>
      <c r="G207">
        <v>1008.99</v>
      </c>
      <c r="H207">
        <v>1034</v>
      </c>
      <c r="I207">
        <v>12</v>
      </c>
      <c r="J207" t="s">
        <v>367</v>
      </c>
      <c r="K207" t="s">
        <v>368</v>
      </c>
      <c r="L207">
        <v>640</v>
      </c>
      <c r="M207" t="s">
        <v>383</v>
      </c>
      <c r="N207">
        <v>368.99</v>
      </c>
      <c r="O207">
        <v>368.99</v>
      </c>
      <c r="P207" t="s">
        <v>384</v>
      </c>
    </row>
    <row r="208" spans="1:16" x14ac:dyDescent="0.35">
      <c r="A208" s="14">
        <v>46086</v>
      </c>
      <c r="B208" t="s">
        <v>264</v>
      </c>
      <c r="C208" t="s">
        <v>73</v>
      </c>
      <c r="D208" t="s">
        <v>74</v>
      </c>
      <c r="E208" t="s">
        <v>34</v>
      </c>
      <c r="F208">
        <v>1</v>
      </c>
      <c r="G208">
        <v>999</v>
      </c>
      <c r="H208">
        <v>1034</v>
      </c>
      <c r="I208">
        <v>12</v>
      </c>
      <c r="J208" t="s">
        <v>367</v>
      </c>
      <c r="K208" t="s">
        <v>368</v>
      </c>
      <c r="L208">
        <v>640</v>
      </c>
      <c r="M208" t="s">
        <v>383</v>
      </c>
      <c r="N208">
        <v>359</v>
      </c>
      <c r="O208">
        <v>359</v>
      </c>
      <c r="P208" t="s">
        <v>384</v>
      </c>
    </row>
    <row r="209" spans="1:16" x14ac:dyDescent="0.35">
      <c r="A209" s="14">
        <v>46086</v>
      </c>
      <c r="B209" t="s">
        <v>265</v>
      </c>
      <c r="C209" t="s">
        <v>79</v>
      </c>
      <c r="D209" t="s">
        <v>80</v>
      </c>
      <c r="E209" t="s">
        <v>38</v>
      </c>
      <c r="F209">
        <v>2</v>
      </c>
      <c r="G209">
        <v>906.98</v>
      </c>
      <c r="H209">
        <v>772</v>
      </c>
      <c r="I209">
        <v>10</v>
      </c>
      <c r="J209" t="s">
        <v>371</v>
      </c>
      <c r="K209" t="s">
        <v>369</v>
      </c>
      <c r="L209">
        <v>220</v>
      </c>
      <c r="M209" t="s">
        <v>383</v>
      </c>
      <c r="N209">
        <v>233.49</v>
      </c>
      <c r="O209">
        <v>466.98</v>
      </c>
      <c r="P209" t="s">
        <v>384</v>
      </c>
    </row>
    <row r="210" spans="1:16" x14ac:dyDescent="0.35">
      <c r="A210" s="14">
        <v>46087</v>
      </c>
      <c r="B210" t="s">
        <v>266</v>
      </c>
      <c r="C210" t="s">
        <v>36</v>
      </c>
      <c r="D210" t="s">
        <v>37</v>
      </c>
      <c r="E210" t="s">
        <v>38</v>
      </c>
      <c r="F210">
        <v>2</v>
      </c>
      <c r="G210">
        <v>78.78</v>
      </c>
      <c r="H210">
        <v>2350</v>
      </c>
      <c r="I210">
        <v>18</v>
      </c>
      <c r="J210" t="s">
        <v>373</v>
      </c>
      <c r="K210" t="s">
        <v>375</v>
      </c>
      <c r="L210">
        <v>15</v>
      </c>
      <c r="M210" t="s">
        <v>383</v>
      </c>
      <c r="N210">
        <v>24.39</v>
      </c>
      <c r="O210">
        <v>48.78</v>
      </c>
      <c r="P210" t="s">
        <v>384</v>
      </c>
    </row>
    <row r="211" spans="1:16" x14ac:dyDescent="0.35">
      <c r="A211" s="14">
        <v>46087</v>
      </c>
      <c r="B211" t="s">
        <v>267</v>
      </c>
      <c r="C211" t="s">
        <v>47</v>
      </c>
      <c r="D211" t="s">
        <v>48</v>
      </c>
      <c r="E211" t="s">
        <v>52</v>
      </c>
      <c r="F211">
        <v>4</v>
      </c>
      <c r="G211">
        <v>231.28</v>
      </c>
      <c r="H211">
        <v>2442</v>
      </c>
      <c r="I211">
        <v>18</v>
      </c>
      <c r="J211" t="s">
        <v>373</v>
      </c>
      <c r="K211" t="s">
        <v>375</v>
      </c>
      <c r="L211">
        <v>22</v>
      </c>
      <c r="M211" t="s">
        <v>383</v>
      </c>
      <c r="N211">
        <v>35.82</v>
      </c>
      <c r="O211">
        <v>143.28</v>
      </c>
      <c r="P211" t="s">
        <v>384</v>
      </c>
    </row>
    <row r="212" spans="1:16" x14ac:dyDescent="0.35">
      <c r="A212" s="14">
        <v>46087</v>
      </c>
      <c r="B212" t="s">
        <v>268</v>
      </c>
      <c r="C212" t="s">
        <v>47</v>
      </c>
      <c r="D212" t="s">
        <v>48</v>
      </c>
      <c r="E212" t="s">
        <v>38</v>
      </c>
      <c r="F212">
        <v>6</v>
      </c>
      <c r="G212">
        <v>357.54</v>
      </c>
      <c r="H212">
        <v>2442</v>
      </c>
      <c r="I212">
        <v>18</v>
      </c>
      <c r="J212" t="s">
        <v>373</v>
      </c>
      <c r="K212" t="s">
        <v>375</v>
      </c>
      <c r="L212">
        <v>22</v>
      </c>
      <c r="M212" t="s">
        <v>383</v>
      </c>
      <c r="N212">
        <v>37.590000000000003</v>
      </c>
      <c r="O212">
        <v>225.54000000000002</v>
      </c>
      <c r="P212" t="s">
        <v>384</v>
      </c>
    </row>
    <row r="213" spans="1:16" x14ac:dyDescent="0.35">
      <c r="A213" s="14">
        <v>46088</v>
      </c>
      <c r="B213" t="s">
        <v>269</v>
      </c>
      <c r="C213" t="s">
        <v>50</v>
      </c>
      <c r="D213" t="s">
        <v>51</v>
      </c>
      <c r="E213" t="s">
        <v>38</v>
      </c>
      <c r="F213">
        <v>6</v>
      </c>
      <c r="G213">
        <v>781.74</v>
      </c>
      <c r="H213">
        <v>2550</v>
      </c>
      <c r="I213">
        <v>18</v>
      </c>
      <c r="J213" t="s">
        <v>373</v>
      </c>
      <c r="K213" t="s">
        <v>374</v>
      </c>
      <c r="L213">
        <v>58</v>
      </c>
      <c r="M213" t="s">
        <v>383</v>
      </c>
      <c r="N213">
        <v>72.289999999999992</v>
      </c>
      <c r="O213">
        <v>433.74</v>
      </c>
      <c r="P213" t="s">
        <v>384</v>
      </c>
    </row>
    <row r="214" spans="1:16" x14ac:dyDescent="0.35">
      <c r="A214" s="14">
        <v>46088</v>
      </c>
      <c r="B214" t="s">
        <v>270</v>
      </c>
      <c r="C214" t="s">
        <v>36</v>
      </c>
      <c r="D214" t="s">
        <v>37</v>
      </c>
      <c r="E214" t="s">
        <v>34</v>
      </c>
      <c r="F214">
        <v>1</v>
      </c>
      <c r="G214">
        <v>39</v>
      </c>
      <c r="H214">
        <v>2350</v>
      </c>
      <c r="I214">
        <v>18</v>
      </c>
      <c r="J214" t="s">
        <v>373</v>
      </c>
      <c r="K214" t="s">
        <v>375</v>
      </c>
      <c r="L214">
        <v>15</v>
      </c>
      <c r="M214" t="s">
        <v>383</v>
      </c>
      <c r="N214">
        <v>24</v>
      </c>
      <c r="O214">
        <v>24</v>
      </c>
      <c r="P214" t="s">
        <v>384</v>
      </c>
    </row>
    <row r="215" spans="1:16" x14ac:dyDescent="0.35">
      <c r="A215" s="14">
        <v>46089</v>
      </c>
      <c r="B215" t="s">
        <v>271</v>
      </c>
      <c r="C215" t="s">
        <v>36</v>
      </c>
      <c r="D215" t="s">
        <v>37</v>
      </c>
      <c r="E215" t="s">
        <v>38</v>
      </c>
      <c r="F215">
        <v>2</v>
      </c>
      <c r="G215">
        <v>78.78</v>
      </c>
      <c r="H215">
        <v>2350</v>
      </c>
      <c r="I215">
        <v>18</v>
      </c>
      <c r="J215" t="s">
        <v>373</v>
      </c>
      <c r="K215" t="s">
        <v>375</v>
      </c>
      <c r="L215">
        <v>15</v>
      </c>
      <c r="M215" t="s">
        <v>383</v>
      </c>
      <c r="N215">
        <v>24.39</v>
      </c>
      <c r="O215">
        <v>48.78</v>
      </c>
      <c r="P215" t="s">
        <v>384</v>
      </c>
    </row>
    <row r="216" spans="1:16" x14ac:dyDescent="0.35">
      <c r="A216" s="14">
        <v>46089</v>
      </c>
      <c r="B216" t="s">
        <v>272</v>
      </c>
      <c r="C216" t="s">
        <v>40</v>
      </c>
      <c r="D216" t="s">
        <v>41</v>
      </c>
      <c r="E216" t="s">
        <v>38</v>
      </c>
      <c r="F216">
        <v>3</v>
      </c>
      <c r="G216">
        <v>4238.97</v>
      </c>
      <c r="H216">
        <v>771</v>
      </c>
      <c r="I216">
        <v>8</v>
      </c>
      <c r="J216" t="s">
        <v>364</v>
      </c>
      <c r="K216" t="s">
        <v>366</v>
      </c>
      <c r="L216">
        <v>860</v>
      </c>
      <c r="M216" t="s">
        <v>383</v>
      </c>
      <c r="N216">
        <v>552.99</v>
      </c>
      <c r="O216">
        <v>1658.9700000000003</v>
      </c>
      <c r="P216" t="s">
        <v>385</v>
      </c>
    </row>
    <row r="217" spans="1:16" x14ac:dyDescent="0.35">
      <c r="A217" s="14">
        <v>46090</v>
      </c>
      <c r="B217" t="s">
        <v>273</v>
      </c>
      <c r="C217" t="s">
        <v>50</v>
      </c>
      <c r="D217" t="s">
        <v>51</v>
      </c>
      <c r="E217" t="s">
        <v>42</v>
      </c>
      <c r="F217">
        <v>1</v>
      </c>
      <c r="G217">
        <v>127.71</v>
      </c>
      <c r="H217">
        <v>2550</v>
      </c>
      <c r="I217">
        <v>18</v>
      </c>
      <c r="J217" t="s">
        <v>373</v>
      </c>
      <c r="K217" t="s">
        <v>374</v>
      </c>
      <c r="L217">
        <v>58</v>
      </c>
      <c r="M217" t="s">
        <v>383</v>
      </c>
      <c r="N217">
        <v>69.709999999999994</v>
      </c>
      <c r="O217">
        <v>69.709999999999994</v>
      </c>
      <c r="P217" t="s">
        <v>384</v>
      </c>
    </row>
    <row r="218" spans="1:16" x14ac:dyDescent="0.35">
      <c r="A218" s="14">
        <v>46090</v>
      </c>
      <c r="B218" t="s">
        <v>274</v>
      </c>
      <c r="C218" t="s">
        <v>32</v>
      </c>
      <c r="D218" t="s">
        <v>33</v>
      </c>
      <c r="E218" t="s">
        <v>42</v>
      </c>
      <c r="F218">
        <v>2</v>
      </c>
      <c r="G218">
        <v>2374.02</v>
      </c>
      <c r="H218">
        <v>707</v>
      </c>
      <c r="I218">
        <v>8</v>
      </c>
      <c r="J218" t="s">
        <v>364</v>
      </c>
      <c r="K218" t="s">
        <v>365</v>
      </c>
      <c r="L218">
        <v>720</v>
      </c>
      <c r="M218" t="s">
        <v>383</v>
      </c>
      <c r="N218">
        <v>467.01</v>
      </c>
      <c r="O218">
        <v>934.02</v>
      </c>
      <c r="P218" t="s">
        <v>385</v>
      </c>
    </row>
    <row r="219" spans="1:16" x14ac:dyDescent="0.35">
      <c r="A219" s="14">
        <v>46090</v>
      </c>
      <c r="B219" t="s">
        <v>275</v>
      </c>
      <c r="C219" t="s">
        <v>44</v>
      </c>
      <c r="D219" t="s">
        <v>45</v>
      </c>
      <c r="E219" t="s">
        <v>34</v>
      </c>
      <c r="F219">
        <v>8</v>
      </c>
      <c r="G219">
        <v>4392</v>
      </c>
      <c r="H219">
        <v>1008</v>
      </c>
      <c r="I219">
        <v>12</v>
      </c>
      <c r="J219" t="s">
        <v>367</v>
      </c>
      <c r="K219" t="s">
        <v>369</v>
      </c>
      <c r="L219">
        <v>280</v>
      </c>
      <c r="M219" t="s">
        <v>383</v>
      </c>
      <c r="N219">
        <v>269</v>
      </c>
      <c r="O219">
        <v>2152</v>
      </c>
      <c r="P219" t="s">
        <v>385</v>
      </c>
    </row>
    <row r="220" spans="1:16" x14ac:dyDescent="0.35">
      <c r="A220" s="14">
        <v>46090</v>
      </c>
      <c r="B220" t="s">
        <v>276</v>
      </c>
      <c r="C220" t="s">
        <v>36</v>
      </c>
      <c r="D220" t="s">
        <v>37</v>
      </c>
      <c r="E220" t="s">
        <v>38</v>
      </c>
      <c r="F220">
        <v>8</v>
      </c>
      <c r="G220">
        <v>315.12</v>
      </c>
      <c r="H220">
        <v>2350</v>
      </c>
      <c r="I220">
        <v>18</v>
      </c>
      <c r="J220" t="s">
        <v>373</v>
      </c>
      <c r="K220" t="s">
        <v>375</v>
      </c>
      <c r="L220">
        <v>15</v>
      </c>
      <c r="M220" t="s">
        <v>383</v>
      </c>
      <c r="N220">
        <v>24.39</v>
      </c>
      <c r="O220">
        <v>195.12</v>
      </c>
      <c r="P220" t="s">
        <v>384</v>
      </c>
    </row>
    <row r="221" spans="1:16" x14ac:dyDescent="0.35">
      <c r="A221" s="14">
        <v>46091</v>
      </c>
      <c r="B221" t="s">
        <v>277</v>
      </c>
      <c r="C221" t="s">
        <v>47</v>
      </c>
      <c r="D221" t="s">
        <v>48</v>
      </c>
      <c r="E221" t="s">
        <v>34</v>
      </c>
      <c r="F221">
        <v>1</v>
      </c>
      <c r="G221">
        <v>59</v>
      </c>
      <c r="H221">
        <v>2442</v>
      </c>
      <c r="I221">
        <v>18</v>
      </c>
      <c r="J221" t="s">
        <v>373</v>
      </c>
      <c r="K221" t="s">
        <v>375</v>
      </c>
      <c r="L221">
        <v>22</v>
      </c>
      <c r="M221" t="s">
        <v>383</v>
      </c>
      <c r="N221">
        <v>37</v>
      </c>
      <c r="O221">
        <v>37</v>
      </c>
      <c r="P221" t="s">
        <v>384</v>
      </c>
    </row>
    <row r="222" spans="1:16" x14ac:dyDescent="0.35">
      <c r="A222" s="14">
        <v>46091</v>
      </c>
      <c r="B222" t="s">
        <v>278</v>
      </c>
      <c r="C222" t="s">
        <v>36</v>
      </c>
      <c r="D222" t="s">
        <v>37</v>
      </c>
      <c r="E222" t="s">
        <v>42</v>
      </c>
      <c r="F222">
        <v>3</v>
      </c>
      <c r="G222">
        <v>115.83</v>
      </c>
      <c r="H222">
        <v>2350</v>
      </c>
      <c r="I222">
        <v>18</v>
      </c>
      <c r="J222" t="s">
        <v>373</v>
      </c>
      <c r="K222" t="s">
        <v>375</v>
      </c>
      <c r="L222">
        <v>15</v>
      </c>
      <c r="M222" t="s">
        <v>383</v>
      </c>
      <c r="N222">
        <v>23.61</v>
      </c>
      <c r="O222">
        <v>70.83</v>
      </c>
      <c r="P222" t="s">
        <v>384</v>
      </c>
    </row>
    <row r="223" spans="1:16" x14ac:dyDescent="0.35">
      <c r="A223" s="14">
        <v>46091</v>
      </c>
      <c r="B223" t="s">
        <v>279</v>
      </c>
      <c r="C223" t="s">
        <v>55</v>
      </c>
      <c r="D223" t="s">
        <v>56</v>
      </c>
      <c r="E223" t="s">
        <v>34</v>
      </c>
      <c r="F223">
        <v>3</v>
      </c>
      <c r="G223">
        <v>267</v>
      </c>
      <c r="H223">
        <v>1374</v>
      </c>
      <c r="I223">
        <v>14</v>
      </c>
      <c r="J223" t="s">
        <v>376</v>
      </c>
      <c r="K223" t="s">
        <v>375</v>
      </c>
      <c r="L223">
        <v>34</v>
      </c>
      <c r="M223" t="s">
        <v>383</v>
      </c>
      <c r="N223">
        <v>55</v>
      </c>
      <c r="O223">
        <v>165</v>
      </c>
      <c r="P223" t="s">
        <v>384</v>
      </c>
    </row>
    <row r="224" spans="1:16" x14ac:dyDescent="0.35">
      <c r="A224" s="14">
        <v>46091</v>
      </c>
      <c r="B224" t="s">
        <v>280</v>
      </c>
      <c r="C224" t="s">
        <v>47</v>
      </c>
      <c r="D224" t="s">
        <v>48</v>
      </c>
      <c r="E224" t="s">
        <v>42</v>
      </c>
      <c r="F224">
        <v>1</v>
      </c>
      <c r="G224">
        <v>58.41</v>
      </c>
      <c r="H224">
        <v>2442</v>
      </c>
      <c r="I224">
        <v>18</v>
      </c>
      <c r="J224" t="s">
        <v>373</v>
      </c>
      <c r="K224" t="s">
        <v>375</v>
      </c>
      <c r="L224">
        <v>22</v>
      </c>
      <c r="M224" t="s">
        <v>383</v>
      </c>
      <c r="N224">
        <v>36.409999999999997</v>
      </c>
      <c r="O224">
        <v>36.409999999999997</v>
      </c>
      <c r="P224" t="s">
        <v>384</v>
      </c>
    </row>
    <row r="225" spans="1:16" x14ac:dyDescent="0.35">
      <c r="A225" s="14">
        <v>46092</v>
      </c>
      <c r="B225" t="s">
        <v>281</v>
      </c>
      <c r="C225" t="s">
        <v>76</v>
      </c>
      <c r="D225" t="s">
        <v>77</v>
      </c>
      <c r="E225" t="s">
        <v>38</v>
      </c>
      <c r="F225">
        <v>5</v>
      </c>
      <c r="G225">
        <v>3529.95</v>
      </c>
      <c r="H225">
        <v>578</v>
      </c>
      <c r="I225">
        <v>7</v>
      </c>
      <c r="J225" t="s">
        <v>370</v>
      </c>
      <c r="K225" t="s">
        <v>368</v>
      </c>
      <c r="L225">
        <v>360</v>
      </c>
      <c r="M225" t="s">
        <v>383</v>
      </c>
      <c r="N225">
        <v>345.99</v>
      </c>
      <c r="O225">
        <v>1729.9499999999998</v>
      </c>
      <c r="P225" t="s">
        <v>385</v>
      </c>
    </row>
    <row r="226" spans="1:16" x14ac:dyDescent="0.35">
      <c r="A226" s="14">
        <v>46092</v>
      </c>
      <c r="B226" t="s">
        <v>282</v>
      </c>
      <c r="C226" t="s">
        <v>76</v>
      </c>
      <c r="D226" t="s">
        <v>77</v>
      </c>
      <c r="E226" t="s">
        <v>38</v>
      </c>
      <c r="F226">
        <v>2</v>
      </c>
      <c r="G226">
        <v>1411.98</v>
      </c>
      <c r="H226">
        <v>578</v>
      </c>
      <c r="I226">
        <v>7</v>
      </c>
      <c r="J226" t="s">
        <v>370</v>
      </c>
      <c r="K226" t="s">
        <v>368</v>
      </c>
      <c r="L226">
        <v>360</v>
      </c>
      <c r="M226" t="s">
        <v>383</v>
      </c>
      <c r="N226">
        <v>345.99</v>
      </c>
      <c r="O226">
        <v>691.98</v>
      </c>
      <c r="P226" t="s">
        <v>384</v>
      </c>
    </row>
    <row r="227" spans="1:16" x14ac:dyDescent="0.35">
      <c r="A227" s="14">
        <v>46092</v>
      </c>
      <c r="B227" t="s">
        <v>283</v>
      </c>
      <c r="C227" t="s">
        <v>55</v>
      </c>
      <c r="D227" t="s">
        <v>56</v>
      </c>
      <c r="E227" t="s">
        <v>52</v>
      </c>
      <c r="F227">
        <v>3</v>
      </c>
      <c r="G227">
        <v>261.66000000000003</v>
      </c>
      <c r="H227">
        <v>1374</v>
      </c>
      <c r="I227">
        <v>14</v>
      </c>
      <c r="J227" t="s">
        <v>376</v>
      </c>
      <c r="K227" t="s">
        <v>375</v>
      </c>
      <c r="L227">
        <v>34</v>
      </c>
      <c r="M227" t="s">
        <v>383</v>
      </c>
      <c r="N227">
        <v>53.220000000000013</v>
      </c>
      <c r="O227">
        <v>159.66000000000003</v>
      </c>
      <c r="P227" t="s">
        <v>384</v>
      </c>
    </row>
    <row r="228" spans="1:16" x14ac:dyDescent="0.35">
      <c r="A228" s="14">
        <v>46093</v>
      </c>
      <c r="B228" t="s">
        <v>284</v>
      </c>
      <c r="C228" t="s">
        <v>76</v>
      </c>
      <c r="D228" t="s">
        <v>77</v>
      </c>
      <c r="E228" t="s">
        <v>42</v>
      </c>
      <c r="F228">
        <v>8</v>
      </c>
      <c r="G228">
        <v>5536.08</v>
      </c>
      <c r="H228">
        <v>578</v>
      </c>
      <c r="I228">
        <v>7</v>
      </c>
      <c r="J228" t="s">
        <v>370</v>
      </c>
      <c r="K228" t="s">
        <v>368</v>
      </c>
      <c r="L228">
        <v>360</v>
      </c>
      <c r="M228" t="s">
        <v>383</v>
      </c>
      <c r="N228">
        <v>332.01</v>
      </c>
      <c r="O228">
        <v>2656.08</v>
      </c>
      <c r="P228" t="s">
        <v>385</v>
      </c>
    </row>
    <row r="229" spans="1:16" x14ac:dyDescent="0.35">
      <c r="A229" s="14">
        <v>46093</v>
      </c>
      <c r="B229" t="s">
        <v>285</v>
      </c>
      <c r="C229" t="s">
        <v>60</v>
      </c>
      <c r="D229" t="s">
        <v>61</v>
      </c>
      <c r="E229" t="s">
        <v>42</v>
      </c>
      <c r="F229">
        <v>10</v>
      </c>
      <c r="G229">
        <v>3257.1</v>
      </c>
      <c r="H229">
        <v>802</v>
      </c>
      <c r="I229">
        <v>10</v>
      </c>
      <c r="J229" t="s">
        <v>371</v>
      </c>
      <c r="K229" t="s">
        <v>372</v>
      </c>
      <c r="L229">
        <v>155</v>
      </c>
      <c r="M229" t="s">
        <v>383</v>
      </c>
      <c r="N229">
        <v>170.70999999999998</v>
      </c>
      <c r="O229">
        <v>1707.1</v>
      </c>
      <c r="P229" t="s">
        <v>385</v>
      </c>
    </row>
    <row r="230" spans="1:16" x14ac:dyDescent="0.35">
      <c r="A230" s="14">
        <v>46093</v>
      </c>
      <c r="B230" t="s">
        <v>286</v>
      </c>
      <c r="C230" t="s">
        <v>47</v>
      </c>
      <c r="D230" t="s">
        <v>48</v>
      </c>
      <c r="E230" t="s">
        <v>42</v>
      </c>
      <c r="F230">
        <v>2</v>
      </c>
      <c r="G230">
        <v>116.82</v>
      </c>
      <c r="H230">
        <v>2442</v>
      </c>
      <c r="I230">
        <v>18</v>
      </c>
      <c r="J230" t="s">
        <v>373</v>
      </c>
      <c r="K230" t="s">
        <v>375</v>
      </c>
      <c r="L230">
        <v>22</v>
      </c>
      <c r="M230" t="s">
        <v>383</v>
      </c>
      <c r="N230">
        <v>36.409999999999997</v>
      </c>
      <c r="O230">
        <v>72.819999999999993</v>
      </c>
      <c r="P230" t="s">
        <v>384</v>
      </c>
    </row>
    <row r="231" spans="1:16" x14ac:dyDescent="0.35">
      <c r="A231" s="14">
        <v>46093</v>
      </c>
      <c r="B231" t="s">
        <v>287</v>
      </c>
      <c r="C231" t="s">
        <v>73</v>
      </c>
      <c r="D231" t="s">
        <v>74</v>
      </c>
      <c r="E231" t="s">
        <v>42</v>
      </c>
      <c r="F231">
        <v>4</v>
      </c>
      <c r="G231">
        <v>3956.04</v>
      </c>
      <c r="H231">
        <v>1034</v>
      </c>
      <c r="I231">
        <v>12</v>
      </c>
      <c r="J231" t="s">
        <v>367</v>
      </c>
      <c r="K231" t="s">
        <v>368</v>
      </c>
      <c r="L231">
        <v>640</v>
      </c>
      <c r="M231" t="s">
        <v>383</v>
      </c>
      <c r="N231">
        <v>349.01</v>
      </c>
      <c r="O231">
        <v>1396.04</v>
      </c>
      <c r="P231" t="s">
        <v>385</v>
      </c>
    </row>
    <row r="232" spans="1:16" x14ac:dyDescent="0.35">
      <c r="A232" s="14">
        <v>46094</v>
      </c>
      <c r="B232" t="s">
        <v>288</v>
      </c>
      <c r="C232" t="s">
        <v>36</v>
      </c>
      <c r="D232" t="s">
        <v>37</v>
      </c>
      <c r="E232" t="s">
        <v>34</v>
      </c>
      <c r="F232">
        <v>3</v>
      </c>
      <c r="G232">
        <v>117</v>
      </c>
      <c r="H232">
        <v>2350</v>
      </c>
      <c r="I232">
        <v>18</v>
      </c>
      <c r="J232" t="s">
        <v>373</v>
      </c>
      <c r="K232" t="s">
        <v>375</v>
      </c>
      <c r="L232">
        <v>15</v>
      </c>
      <c r="M232" t="s">
        <v>383</v>
      </c>
      <c r="N232">
        <v>24</v>
      </c>
      <c r="O232">
        <v>72</v>
      </c>
      <c r="P232" t="s">
        <v>384</v>
      </c>
    </row>
    <row r="233" spans="1:16" x14ac:dyDescent="0.35">
      <c r="A233" s="14">
        <v>46094</v>
      </c>
      <c r="B233" t="s">
        <v>289</v>
      </c>
      <c r="C233" t="s">
        <v>55</v>
      </c>
      <c r="D233" t="s">
        <v>56</v>
      </c>
      <c r="E233" t="s">
        <v>42</v>
      </c>
      <c r="F233">
        <v>3</v>
      </c>
      <c r="G233">
        <v>264.33</v>
      </c>
      <c r="H233">
        <v>1374</v>
      </c>
      <c r="I233">
        <v>14</v>
      </c>
      <c r="J233" t="s">
        <v>376</v>
      </c>
      <c r="K233" t="s">
        <v>375</v>
      </c>
      <c r="L233">
        <v>34</v>
      </c>
      <c r="M233" t="s">
        <v>383</v>
      </c>
      <c r="N233">
        <v>54.11</v>
      </c>
      <c r="O233">
        <v>162.32999999999998</v>
      </c>
      <c r="P233" t="s">
        <v>384</v>
      </c>
    </row>
    <row r="234" spans="1:16" x14ac:dyDescent="0.35">
      <c r="A234" s="14">
        <v>46094</v>
      </c>
      <c r="B234" t="s">
        <v>290</v>
      </c>
      <c r="C234" t="s">
        <v>40</v>
      </c>
      <c r="D234" t="s">
        <v>41</v>
      </c>
      <c r="E234" t="s">
        <v>52</v>
      </c>
      <c r="F234">
        <v>3</v>
      </c>
      <c r="G234">
        <v>4113.0600000000004</v>
      </c>
      <c r="H234">
        <v>771</v>
      </c>
      <c r="I234">
        <v>8</v>
      </c>
      <c r="J234" t="s">
        <v>364</v>
      </c>
      <c r="K234" t="s">
        <v>366</v>
      </c>
      <c r="L234">
        <v>860</v>
      </c>
      <c r="M234" t="s">
        <v>383</v>
      </c>
      <c r="N234">
        <v>511.02000000000021</v>
      </c>
      <c r="O234">
        <v>1533.0600000000004</v>
      </c>
      <c r="P234" t="s">
        <v>385</v>
      </c>
    </row>
    <row r="235" spans="1:16" x14ac:dyDescent="0.35">
      <c r="A235" s="14">
        <v>46094</v>
      </c>
      <c r="B235" t="s">
        <v>291</v>
      </c>
      <c r="C235" t="s">
        <v>44</v>
      </c>
      <c r="D235" t="s">
        <v>45</v>
      </c>
      <c r="E235" t="s">
        <v>34</v>
      </c>
      <c r="F235">
        <v>3</v>
      </c>
      <c r="G235">
        <v>1647</v>
      </c>
      <c r="H235">
        <v>1008</v>
      </c>
      <c r="I235">
        <v>12</v>
      </c>
      <c r="J235" t="s">
        <v>367</v>
      </c>
      <c r="K235" t="s">
        <v>369</v>
      </c>
      <c r="L235">
        <v>280</v>
      </c>
      <c r="M235" t="s">
        <v>383</v>
      </c>
      <c r="N235">
        <v>269</v>
      </c>
      <c r="O235">
        <v>807</v>
      </c>
      <c r="P235" t="s">
        <v>384</v>
      </c>
    </row>
    <row r="236" spans="1:16" x14ac:dyDescent="0.35">
      <c r="A236" s="14">
        <v>46095</v>
      </c>
      <c r="B236" t="s">
        <v>292</v>
      </c>
      <c r="C236" t="s">
        <v>40</v>
      </c>
      <c r="D236" t="s">
        <v>41</v>
      </c>
      <c r="E236" t="s">
        <v>52</v>
      </c>
      <c r="F236">
        <v>6</v>
      </c>
      <c r="G236">
        <v>8226.1200000000008</v>
      </c>
      <c r="H236">
        <v>771</v>
      </c>
      <c r="I236">
        <v>8</v>
      </c>
      <c r="J236" t="s">
        <v>364</v>
      </c>
      <c r="K236" t="s">
        <v>366</v>
      </c>
      <c r="L236">
        <v>860</v>
      </c>
      <c r="M236" t="s">
        <v>383</v>
      </c>
      <c r="N236">
        <v>511.02000000000021</v>
      </c>
      <c r="O236">
        <v>3066.1200000000008</v>
      </c>
      <c r="P236" t="s">
        <v>385</v>
      </c>
    </row>
    <row r="237" spans="1:16" x14ac:dyDescent="0.35">
      <c r="A237" s="14">
        <v>46095</v>
      </c>
      <c r="B237" t="s">
        <v>293</v>
      </c>
      <c r="C237" t="s">
        <v>79</v>
      </c>
      <c r="D237" t="s">
        <v>80</v>
      </c>
      <c r="E237" t="s">
        <v>34</v>
      </c>
      <c r="F237">
        <v>5</v>
      </c>
      <c r="G237">
        <v>2245</v>
      </c>
      <c r="H237">
        <v>772</v>
      </c>
      <c r="I237">
        <v>10</v>
      </c>
      <c r="J237" t="s">
        <v>371</v>
      </c>
      <c r="K237" t="s">
        <v>369</v>
      </c>
      <c r="L237">
        <v>220</v>
      </c>
      <c r="M237" t="s">
        <v>383</v>
      </c>
      <c r="N237">
        <v>229</v>
      </c>
      <c r="O237">
        <v>1145</v>
      </c>
      <c r="P237" t="s">
        <v>385</v>
      </c>
    </row>
    <row r="238" spans="1:16" x14ac:dyDescent="0.35">
      <c r="A238" s="14">
        <v>46095</v>
      </c>
      <c r="B238" t="s">
        <v>294</v>
      </c>
      <c r="C238" t="s">
        <v>50</v>
      </c>
      <c r="D238" t="s">
        <v>51</v>
      </c>
      <c r="E238" t="s">
        <v>38</v>
      </c>
      <c r="F238">
        <v>2</v>
      </c>
      <c r="G238">
        <v>260.58</v>
      </c>
      <c r="H238">
        <v>2550</v>
      </c>
      <c r="I238">
        <v>18</v>
      </c>
      <c r="J238" t="s">
        <v>373</v>
      </c>
      <c r="K238" t="s">
        <v>374</v>
      </c>
      <c r="L238">
        <v>58</v>
      </c>
      <c r="M238" t="s">
        <v>383</v>
      </c>
      <c r="N238">
        <v>72.289999999999992</v>
      </c>
      <c r="O238">
        <v>144.57999999999998</v>
      </c>
      <c r="P238" t="s">
        <v>384</v>
      </c>
    </row>
    <row r="239" spans="1:16" x14ac:dyDescent="0.35">
      <c r="A239" s="14">
        <v>46096</v>
      </c>
      <c r="B239" t="s">
        <v>295</v>
      </c>
      <c r="C239" t="s">
        <v>36</v>
      </c>
      <c r="D239" t="s">
        <v>37</v>
      </c>
      <c r="E239" t="s">
        <v>52</v>
      </c>
      <c r="F239">
        <v>1</v>
      </c>
      <c r="G239">
        <v>38.22</v>
      </c>
      <c r="H239">
        <v>2350</v>
      </c>
      <c r="I239">
        <v>18</v>
      </c>
      <c r="J239" t="s">
        <v>373</v>
      </c>
      <c r="K239" t="s">
        <v>375</v>
      </c>
      <c r="L239">
        <v>15</v>
      </c>
      <c r="M239" t="s">
        <v>383</v>
      </c>
      <c r="N239">
        <v>23.22</v>
      </c>
      <c r="O239">
        <v>23.22</v>
      </c>
      <c r="P239" t="s">
        <v>384</v>
      </c>
    </row>
    <row r="240" spans="1:16" x14ac:dyDescent="0.35">
      <c r="A240" s="14">
        <v>46096</v>
      </c>
      <c r="B240" t="s">
        <v>296</v>
      </c>
      <c r="C240" t="s">
        <v>50</v>
      </c>
      <c r="D240" t="s">
        <v>51</v>
      </c>
      <c r="E240" t="s">
        <v>42</v>
      </c>
      <c r="F240">
        <v>6</v>
      </c>
      <c r="G240">
        <v>766.26</v>
      </c>
      <c r="H240">
        <v>2550</v>
      </c>
      <c r="I240">
        <v>18</v>
      </c>
      <c r="J240" t="s">
        <v>373</v>
      </c>
      <c r="K240" t="s">
        <v>374</v>
      </c>
      <c r="L240">
        <v>58</v>
      </c>
      <c r="M240" t="s">
        <v>383</v>
      </c>
      <c r="N240">
        <v>69.709999999999994</v>
      </c>
      <c r="O240">
        <v>418.26</v>
      </c>
      <c r="P240" t="s">
        <v>384</v>
      </c>
    </row>
    <row r="241" spans="1:16" x14ac:dyDescent="0.35">
      <c r="A241" s="14">
        <v>46097</v>
      </c>
      <c r="B241" t="s">
        <v>297</v>
      </c>
      <c r="C241" t="s">
        <v>83</v>
      </c>
      <c r="D241" t="s">
        <v>84</v>
      </c>
      <c r="E241" t="s">
        <v>52</v>
      </c>
      <c r="F241">
        <v>1</v>
      </c>
      <c r="G241">
        <v>116.62</v>
      </c>
      <c r="H241">
        <v>1432</v>
      </c>
      <c r="I241">
        <v>14</v>
      </c>
      <c r="J241" t="s">
        <v>376</v>
      </c>
      <c r="K241" t="s">
        <v>377</v>
      </c>
      <c r="L241">
        <v>48</v>
      </c>
      <c r="M241" t="s">
        <v>383</v>
      </c>
      <c r="N241">
        <v>68.62</v>
      </c>
      <c r="O241">
        <v>68.62</v>
      </c>
      <c r="P241" t="s">
        <v>384</v>
      </c>
    </row>
    <row r="242" spans="1:16" x14ac:dyDescent="0.35">
      <c r="A242" s="14">
        <v>46097</v>
      </c>
      <c r="B242" t="s">
        <v>298</v>
      </c>
      <c r="C242" t="s">
        <v>36</v>
      </c>
      <c r="D242" t="s">
        <v>37</v>
      </c>
      <c r="E242" t="s">
        <v>42</v>
      </c>
      <c r="F242">
        <v>6</v>
      </c>
      <c r="G242">
        <v>231.66</v>
      </c>
      <c r="H242">
        <v>2350</v>
      </c>
      <c r="I242">
        <v>18</v>
      </c>
      <c r="J242" t="s">
        <v>373</v>
      </c>
      <c r="K242" t="s">
        <v>375</v>
      </c>
      <c r="L242">
        <v>15</v>
      </c>
      <c r="M242" t="s">
        <v>383</v>
      </c>
      <c r="N242">
        <v>23.61</v>
      </c>
      <c r="O242">
        <v>141.66</v>
      </c>
      <c r="P242" t="s">
        <v>384</v>
      </c>
    </row>
    <row r="243" spans="1:16" x14ac:dyDescent="0.35">
      <c r="A243" s="14">
        <v>46097</v>
      </c>
      <c r="B243" t="s">
        <v>299</v>
      </c>
      <c r="C243" t="s">
        <v>50</v>
      </c>
      <c r="D243" t="s">
        <v>51</v>
      </c>
      <c r="E243" t="s">
        <v>52</v>
      </c>
      <c r="F243">
        <v>2</v>
      </c>
      <c r="G243">
        <v>252.84</v>
      </c>
      <c r="H243">
        <v>2550</v>
      </c>
      <c r="I243">
        <v>18</v>
      </c>
      <c r="J243" t="s">
        <v>373</v>
      </c>
      <c r="K243" t="s">
        <v>374</v>
      </c>
      <c r="L243">
        <v>58</v>
      </c>
      <c r="M243" t="s">
        <v>383</v>
      </c>
      <c r="N243">
        <v>68.42</v>
      </c>
      <c r="O243">
        <v>136.84</v>
      </c>
      <c r="P243" t="s">
        <v>384</v>
      </c>
    </row>
    <row r="244" spans="1:16" x14ac:dyDescent="0.35">
      <c r="A244" s="14">
        <v>46097</v>
      </c>
      <c r="B244" t="s">
        <v>300</v>
      </c>
      <c r="C244" t="s">
        <v>44</v>
      </c>
      <c r="D244" t="s">
        <v>45</v>
      </c>
      <c r="E244" t="s">
        <v>38</v>
      </c>
      <c r="F244">
        <v>10</v>
      </c>
      <c r="G244">
        <v>5544.9</v>
      </c>
      <c r="H244">
        <v>1008</v>
      </c>
      <c r="I244">
        <v>12</v>
      </c>
      <c r="J244" t="s">
        <v>367</v>
      </c>
      <c r="K244" t="s">
        <v>369</v>
      </c>
      <c r="L244">
        <v>280</v>
      </c>
      <c r="M244" t="s">
        <v>383</v>
      </c>
      <c r="N244">
        <v>274.49</v>
      </c>
      <c r="O244">
        <v>2744.8999999999996</v>
      </c>
      <c r="P244" t="s">
        <v>385</v>
      </c>
    </row>
    <row r="245" spans="1:16" x14ac:dyDescent="0.35">
      <c r="A245" s="14">
        <v>46098</v>
      </c>
      <c r="B245" t="s">
        <v>301</v>
      </c>
      <c r="C245" t="s">
        <v>73</v>
      </c>
      <c r="D245" t="s">
        <v>74</v>
      </c>
      <c r="E245" t="s">
        <v>42</v>
      </c>
      <c r="F245">
        <v>2</v>
      </c>
      <c r="G245">
        <v>1978.02</v>
      </c>
      <c r="H245">
        <v>1034</v>
      </c>
      <c r="I245">
        <v>12</v>
      </c>
      <c r="J245" t="s">
        <v>367</v>
      </c>
      <c r="K245" t="s">
        <v>368</v>
      </c>
      <c r="L245">
        <v>640</v>
      </c>
      <c r="M245" t="s">
        <v>383</v>
      </c>
      <c r="N245">
        <v>349.01</v>
      </c>
      <c r="O245">
        <v>698.02</v>
      </c>
      <c r="P245" t="s">
        <v>384</v>
      </c>
    </row>
    <row r="246" spans="1:16" x14ac:dyDescent="0.35">
      <c r="A246" s="14">
        <v>46098</v>
      </c>
      <c r="B246" t="s">
        <v>302</v>
      </c>
      <c r="C246" t="s">
        <v>50</v>
      </c>
      <c r="D246" t="s">
        <v>51</v>
      </c>
      <c r="E246" t="s">
        <v>42</v>
      </c>
      <c r="F246">
        <v>2</v>
      </c>
      <c r="G246">
        <v>255.42</v>
      </c>
      <c r="H246">
        <v>2550</v>
      </c>
      <c r="I246">
        <v>18</v>
      </c>
      <c r="J246" t="s">
        <v>373</v>
      </c>
      <c r="K246" t="s">
        <v>374</v>
      </c>
      <c r="L246">
        <v>58</v>
      </c>
      <c r="M246" t="s">
        <v>383</v>
      </c>
      <c r="N246">
        <v>69.709999999999994</v>
      </c>
      <c r="O246">
        <v>139.41999999999999</v>
      </c>
      <c r="P246" t="s">
        <v>384</v>
      </c>
    </row>
    <row r="247" spans="1:16" x14ac:dyDescent="0.35">
      <c r="A247" s="14">
        <v>46098</v>
      </c>
      <c r="B247" t="s">
        <v>303</v>
      </c>
      <c r="C247" t="s">
        <v>76</v>
      </c>
      <c r="D247" t="s">
        <v>77</v>
      </c>
      <c r="E247" t="s">
        <v>34</v>
      </c>
      <c r="F247">
        <v>3</v>
      </c>
      <c r="G247">
        <v>2097</v>
      </c>
      <c r="H247">
        <v>578</v>
      </c>
      <c r="I247">
        <v>7</v>
      </c>
      <c r="J247" t="s">
        <v>370</v>
      </c>
      <c r="K247" t="s">
        <v>368</v>
      </c>
      <c r="L247">
        <v>360</v>
      </c>
      <c r="M247" t="s">
        <v>383</v>
      </c>
      <c r="N247">
        <v>339</v>
      </c>
      <c r="O247">
        <v>1017</v>
      </c>
      <c r="P247" t="s">
        <v>385</v>
      </c>
    </row>
    <row r="248" spans="1:16" x14ac:dyDescent="0.35">
      <c r="A248" s="14">
        <v>46098</v>
      </c>
      <c r="B248" t="s">
        <v>304</v>
      </c>
      <c r="C248" t="s">
        <v>50</v>
      </c>
      <c r="D248" t="s">
        <v>51</v>
      </c>
      <c r="E248" t="s">
        <v>34</v>
      </c>
      <c r="F248">
        <v>4</v>
      </c>
      <c r="G248">
        <v>516</v>
      </c>
      <c r="H248">
        <v>2550</v>
      </c>
      <c r="I248">
        <v>18</v>
      </c>
      <c r="J248" t="s">
        <v>373</v>
      </c>
      <c r="K248" t="s">
        <v>374</v>
      </c>
      <c r="L248">
        <v>58</v>
      </c>
      <c r="M248" t="s">
        <v>383</v>
      </c>
      <c r="N248">
        <v>71</v>
      </c>
      <c r="O248">
        <v>284</v>
      </c>
      <c r="P248" t="s">
        <v>384</v>
      </c>
    </row>
    <row r="249" spans="1:16" x14ac:dyDescent="0.35">
      <c r="A249" s="14">
        <v>46099</v>
      </c>
      <c r="B249" t="s">
        <v>305</v>
      </c>
      <c r="C249" t="s">
        <v>36</v>
      </c>
      <c r="D249" t="s">
        <v>37</v>
      </c>
      <c r="E249" t="s">
        <v>38</v>
      </c>
      <c r="F249">
        <v>4</v>
      </c>
      <c r="G249">
        <v>157.56</v>
      </c>
      <c r="H249">
        <v>2350</v>
      </c>
      <c r="I249">
        <v>18</v>
      </c>
      <c r="J249" t="s">
        <v>373</v>
      </c>
      <c r="K249" t="s">
        <v>375</v>
      </c>
      <c r="L249">
        <v>15</v>
      </c>
      <c r="M249" t="s">
        <v>383</v>
      </c>
      <c r="N249">
        <v>24.39</v>
      </c>
      <c r="O249">
        <v>97.56</v>
      </c>
      <c r="P249" t="s">
        <v>384</v>
      </c>
    </row>
    <row r="250" spans="1:16" x14ac:dyDescent="0.35">
      <c r="A250" s="14">
        <v>46099</v>
      </c>
      <c r="B250" t="s">
        <v>306</v>
      </c>
      <c r="C250" t="s">
        <v>60</v>
      </c>
      <c r="D250" t="s">
        <v>61</v>
      </c>
      <c r="E250" t="s">
        <v>38</v>
      </c>
      <c r="F250">
        <v>5</v>
      </c>
      <c r="G250">
        <v>1661.45</v>
      </c>
      <c r="H250">
        <v>802</v>
      </c>
      <c r="I250">
        <v>10</v>
      </c>
      <c r="J250" t="s">
        <v>371</v>
      </c>
      <c r="K250" t="s">
        <v>372</v>
      </c>
      <c r="L250">
        <v>155</v>
      </c>
      <c r="M250" t="s">
        <v>383</v>
      </c>
      <c r="N250">
        <v>177.29000000000002</v>
      </c>
      <c r="O250">
        <v>886.45</v>
      </c>
      <c r="P250" t="s">
        <v>384</v>
      </c>
    </row>
    <row r="251" spans="1:16" x14ac:dyDescent="0.35">
      <c r="A251" s="14">
        <v>46099</v>
      </c>
      <c r="B251" t="s">
        <v>307</v>
      </c>
      <c r="C251" t="s">
        <v>55</v>
      </c>
      <c r="D251" t="s">
        <v>56</v>
      </c>
      <c r="E251" t="s">
        <v>42</v>
      </c>
      <c r="F251">
        <v>1</v>
      </c>
      <c r="G251">
        <v>88.11</v>
      </c>
      <c r="H251">
        <v>1374</v>
      </c>
      <c r="I251">
        <v>14</v>
      </c>
      <c r="J251" t="s">
        <v>376</v>
      </c>
      <c r="K251" t="s">
        <v>375</v>
      </c>
      <c r="L251">
        <v>34</v>
      </c>
      <c r="M251" t="s">
        <v>383</v>
      </c>
      <c r="N251">
        <v>54.11</v>
      </c>
      <c r="O251">
        <v>54.11</v>
      </c>
      <c r="P251" t="s">
        <v>384</v>
      </c>
    </row>
    <row r="252" spans="1:16" x14ac:dyDescent="0.35">
      <c r="A252" s="14">
        <v>46100</v>
      </c>
      <c r="B252" t="s">
        <v>308</v>
      </c>
      <c r="C252" t="s">
        <v>50</v>
      </c>
      <c r="D252" t="s">
        <v>51</v>
      </c>
      <c r="E252" t="s">
        <v>52</v>
      </c>
      <c r="F252">
        <v>5</v>
      </c>
      <c r="G252">
        <v>632.1</v>
      </c>
      <c r="H252">
        <v>2550</v>
      </c>
      <c r="I252">
        <v>18</v>
      </c>
      <c r="J252" t="s">
        <v>373</v>
      </c>
      <c r="K252" t="s">
        <v>374</v>
      </c>
      <c r="L252">
        <v>58</v>
      </c>
      <c r="M252" t="s">
        <v>383</v>
      </c>
      <c r="N252">
        <v>68.42</v>
      </c>
      <c r="O252">
        <v>342.1</v>
      </c>
      <c r="P252" t="s">
        <v>384</v>
      </c>
    </row>
    <row r="253" spans="1:16" x14ac:dyDescent="0.35">
      <c r="A253" s="14">
        <v>46100</v>
      </c>
      <c r="B253" t="s">
        <v>309</v>
      </c>
      <c r="C253" t="s">
        <v>79</v>
      </c>
      <c r="D253" t="s">
        <v>80</v>
      </c>
      <c r="E253" t="s">
        <v>42</v>
      </c>
      <c r="F253">
        <v>2</v>
      </c>
      <c r="G253">
        <v>889.02</v>
      </c>
      <c r="H253">
        <v>772</v>
      </c>
      <c r="I253">
        <v>10</v>
      </c>
      <c r="J253" t="s">
        <v>371</v>
      </c>
      <c r="K253" t="s">
        <v>369</v>
      </c>
      <c r="L253">
        <v>220</v>
      </c>
      <c r="M253" t="s">
        <v>383</v>
      </c>
      <c r="N253">
        <v>224.51</v>
      </c>
      <c r="O253">
        <v>449.02</v>
      </c>
      <c r="P253" t="s">
        <v>384</v>
      </c>
    </row>
    <row r="254" spans="1:16" x14ac:dyDescent="0.35">
      <c r="A254" s="14">
        <v>46100</v>
      </c>
      <c r="B254" t="s">
        <v>310</v>
      </c>
      <c r="C254" t="s">
        <v>36</v>
      </c>
      <c r="D254" t="s">
        <v>37</v>
      </c>
      <c r="E254" t="s">
        <v>42</v>
      </c>
      <c r="F254">
        <v>3</v>
      </c>
      <c r="G254">
        <v>115.83</v>
      </c>
      <c r="H254">
        <v>2350</v>
      </c>
      <c r="I254">
        <v>18</v>
      </c>
      <c r="J254" t="s">
        <v>373</v>
      </c>
      <c r="K254" t="s">
        <v>375</v>
      </c>
      <c r="L254">
        <v>15</v>
      </c>
      <c r="M254" t="s">
        <v>383</v>
      </c>
      <c r="N254">
        <v>23.61</v>
      </c>
      <c r="O254">
        <v>70.83</v>
      </c>
      <c r="P254" t="s">
        <v>384</v>
      </c>
    </row>
    <row r="255" spans="1:16" x14ac:dyDescent="0.35">
      <c r="A255" s="14">
        <v>46100</v>
      </c>
      <c r="B255" t="s">
        <v>311</v>
      </c>
      <c r="C255" t="s">
        <v>73</v>
      </c>
      <c r="D255" t="s">
        <v>74</v>
      </c>
      <c r="E255" t="s">
        <v>42</v>
      </c>
      <c r="F255">
        <v>8</v>
      </c>
      <c r="G255">
        <v>7912.08</v>
      </c>
      <c r="H255">
        <v>1034</v>
      </c>
      <c r="I255">
        <v>12</v>
      </c>
      <c r="J255" t="s">
        <v>367</v>
      </c>
      <c r="K255" t="s">
        <v>368</v>
      </c>
      <c r="L255">
        <v>640</v>
      </c>
      <c r="M255" t="s">
        <v>383</v>
      </c>
      <c r="N255">
        <v>349.01</v>
      </c>
      <c r="O255">
        <v>2792.08</v>
      </c>
      <c r="P255" t="s">
        <v>385</v>
      </c>
    </row>
    <row r="256" spans="1:16" x14ac:dyDescent="0.35">
      <c r="A256" s="14">
        <v>46101</v>
      </c>
      <c r="B256" t="s">
        <v>312</v>
      </c>
      <c r="C256" t="s">
        <v>47</v>
      </c>
      <c r="D256" t="s">
        <v>48</v>
      </c>
      <c r="E256" t="s">
        <v>38</v>
      </c>
      <c r="F256">
        <v>5</v>
      </c>
      <c r="G256">
        <v>297.95</v>
      </c>
      <c r="H256">
        <v>2442</v>
      </c>
      <c r="I256">
        <v>18</v>
      </c>
      <c r="J256" t="s">
        <v>373</v>
      </c>
      <c r="K256" t="s">
        <v>375</v>
      </c>
      <c r="L256">
        <v>22</v>
      </c>
      <c r="M256" t="s">
        <v>383</v>
      </c>
      <c r="N256">
        <v>37.589999999999996</v>
      </c>
      <c r="O256">
        <v>187.95</v>
      </c>
      <c r="P256" t="s">
        <v>384</v>
      </c>
    </row>
    <row r="257" spans="1:16" x14ac:dyDescent="0.35">
      <c r="A257" s="14">
        <v>46101</v>
      </c>
      <c r="B257" t="s">
        <v>313</v>
      </c>
      <c r="C257" t="s">
        <v>83</v>
      </c>
      <c r="D257" t="s">
        <v>84</v>
      </c>
      <c r="E257" t="s">
        <v>52</v>
      </c>
      <c r="F257">
        <v>2</v>
      </c>
      <c r="G257">
        <v>233.24</v>
      </c>
      <c r="H257">
        <v>1432</v>
      </c>
      <c r="I257">
        <v>14</v>
      </c>
      <c r="J257" t="s">
        <v>376</v>
      </c>
      <c r="K257" t="s">
        <v>377</v>
      </c>
      <c r="L257">
        <v>48</v>
      </c>
      <c r="M257" t="s">
        <v>383</v>
      </c>
      <c r="N257">
        <v>68.62</v>
      </c>
      <c r="O257">
        <v>137.24</v>
      </c>
      <c r="P257" t="s">
        <v>384</v>
      </c>
    </row>
    <row r="258" spans="1:16" x14ac:dyDescent="0.35">
      <c r="A258" s="14">
        <v>46101</v>
      </c>
      <c r="B258" t="s">
        <v>314</v>
      </c>
      <c r="C258" t="s">
        <v>76</v>
      </c>
      <c r="D258" t="s">
        <v>77</v>
      </c>
      <c r="E258" t="s">
        <v>38</v>
      </c>
      <c r="F258">
        <v>4</v>
      </c>
      <c r="G258">
        <v>2823.96</v>
      </c>
      <c r="H258">
        <v>578</v>
      </c>
      <c r="I258">
        <v>7</v>
      </c>
      <c r="J258" t="s">
        <v>370</v>
      </c>
      <c r="K258" t="s">
        <v>368</v>
      </c>
      <c r="L258">
        <v>360</v>
      </c>
      <c r="M258" t="s">
        <v>383</v>
      </c>
      <c r="N258">
        <v>345.99</v>
      </c>
      <c r="O258">
        <v>1383.96</v>
      </c>
      <c r="P258" t="s">
        <v>385</v>
      </c>
    </row>
    <row r="259" spans="1:16" x14ac:dyDescent="0.35">
      <c r="A259" s="14">
        <v>46102</v>
      </c>
      <c r="B259" t="s">
        <v>315</v>
      </c>
      <c r="C259" t="s">
        <v>32</v>
      </c>
      <c r="D259" t="s">
        <v>33</v>
      </c>
      <c r="E259" t="s">
        <v>34</v>
      </c>
      <c r="F259">
        <v>3</v>
      </c>
      <c r="G259">
        <v>3597</v>
      </c>
      <c r="H259">
        <v>707</v>
      </c>
      <c r="I259">
        <v>8</v>
      </c>
      <c r="J259" t="s">
        <v>364</v>
      </c>
      <c r="K259" t="s">
        <v>365</v>
      </c>
      <c r="L259">
        <v>720</v>
      </c>
      <c r="M259" t="s">
        <v>383</v>
      </c>
      <c r="N259">
        <v>479</v>
      </c>
      <c r="O259">
        <v>1437</v>
      </c>
      <c r="P259" t="s">
        <v>385</v>
      </c>
    </row>
    <row r="260" spans="1:16" x14ac:dyDescent="0.35">
      <c r="A260" s="14">
        <v>46102</v>
      </c>
      <c r="B260" t="s">
        <v>316</v>
      </c>
      <c r="C260" t="s">
        <v>55</v>
      </c>
      <c r="D260" t="s">
        <v>56</v>
      </c>
      <c r="E260" t="s">
        <v>52</v>
      </c>
      <c r="F260">
        <v>4</v>
      </c>
      <c r="G260">
        <v>348.88</v>
      </c>
      <c r="H260">
        <v>1374</v>
      </c>
      <c r="I260">
        <v>14</v>
      </c>
      <c r="J260" t="s">
        <v>376</v>
      </c>
      <c r="K260" t="s">
        <v>375</v>
      </c>
      <c r="L260">
        <v>34</v>
      </c>
      <c r="M260" t="s">
        <v>383</v>
      </c>
      <c r="N260">
        <v>53.22</v>
      </c>
      <c r="O260">
        <v>212.88</v>
      </c>
      <c r="P260" t="s">
        <v>384</v>
      </c>
    </row>
    <row r="261" spans="1:16" x14ac:dyDescent="0.35">
      <c r="A261" s="14">
        <v>46102</v>
      </c>
      <c r="B261" t="s">
        <v>317</v>
      </c>
      <c r="C261" t="s">
        <v>79</v>
      </c>
      <c r="D261" t="s">
        <v>80</v>
      </c>
      <c r="E261" t="s">
        <v>34</v>
      </c>
      <c r="F261">
        <v>3</v>
      </c>
      <c r="G261">
        <v>1347</v>
      </c>
      <c r="H261">
        <v>772</v>
      </c>
      <c r="I261">
        <v>10</v>
      </c>
      <c r="J261" t="s">
        <v>371</v>
      </c>
      <c r="K261" t="s">
        <v>369</v>
      </c>
      <c r="L261">
        <v>220</v>
      </c>
      <c r="M261" t="s">
        <v>383</v>
      </c>
      <c r="N261">
        <v>229</v>
      </c>
      <c r="O261">
        <v>687</v>
      </c>
      <c r="P261" t="s">
        <v>384</v>
      </c>
    </row>
    <row r="262" spans="1:16" x14ac:dyDescent="0.35">
      <c r="A262" s="14">
        <v>46103</v>
      </c>
      <c r="B262" t="s">
        <v>318</v>
      </c>
      <c r="C262" t="s">
        <v>79</v>
      </c>
      <c r="D262" t="s">
        <v>80</v>
      </c>
      <c r="E262" t="s">
        <v>38</v>
      </c>
      <c r="F262">
        <v>6</v>
      </c>
      <c r="G262">
        <v>2720.94</v>
      </c>
      <c r="H262">
        <v>772</v>
      </c>
      <c r="I262">
        <v>10</v>
      </c>
      <c r="J262" t="s">
        <v>371</v>
      </c>
      <c r="K262" t="s">
        <v>369</v>
      </c>
      <c r="L262">
        <v>220</v>
      </c>
      <c r="M262" t="s">
        <v>383</v>
      </c>
      <c r="N262">
        <v>233.49</v>
      </c>
      <c r="O262">
        <v>1400.94</v>
      </c>
      <c r="P262" t="s">
        <v>385</v>
      </c>
    </row>
    <row r="263" spans="1:16" x14ac:dyDescent="0.35">
      <c r="A263" s="14">
        <v>46103</v>
      </c>
      <c r="B263" t="s">
        <v>319</v>
      </c>
      <c r="C263" t="s">
        <v>32</v>
      </c>
      <c r="D263" t="s">
        <v>33</v>
      </c>
      <c r="E263" t="s">
        <v>52</v>
      </c>
      <c r="F263">
        <v>2</v>
      </c>
      <c r="G263">
        <v>2350.04</v>
      </c>
      <c r="H263">
        <v>707</v>
      </c>
      <c r="I263">
        <v>8</v>
      </c>
      <c r="J263" t="s">
        <v>364</v>
      </c>
      <c r="K263" t="s">
        <v>365</v>
      </c>
      <c r="L263">
        <v>720</v>
      </c>
      <c r="M263" t="s">
        <v>383</v>
      </c>
      <c r="N263">
        <v>455.02</v>
      </c>
      <c r="O263">
        <v>910.04</v>
      </c>
      <c r="P263" t="s">
        <v>385</v>
      </c>
    </row>
    <row r="264" spans="1:16" x14ac:dyDescent="0.35">
      <c r="A264" s="14">
        <v>46103</v>
      </c>
      <c r="B264" t="s">
        <v>320</v>
      </c>
      <c r="C264" t="s">
        <v>60</v>
      </c>
      <c r="D264" t="s">
        <v>61</v>
      </c>
      <c r="E264" t="s">
        <v>34</v>
      </c>
      <c r="F264">
        <v>3</v>
      </c>
      <c r="G264">
        <v>987</v>
      </c>
      <c r="H264">
        <v>802</v>
      </c>
      <c r="I264">
        <v>10</v>
      </c>
      <c r="J264" t="s">
        <v>371</v>
      </c>
      <c r="K264" t="s">
        <v>372</v>
      </c>
      <c r="L264">
        <v>155</v>
      </c>
      <c r="M264" t="s">
        <v>383</v>
      </c>
      <c r="N264">
        <v>174</v>
      </c>
      <c r="O264">
        <v>522</v>
      </c>
      <c r="P264" t="s">
        <v>384</v>
      </c>
    </row>
    <row r="265" spans="1:16" x14ac:dyDescent="0.35">
      <c r="A265" s="14">
        <v>46104</v>
      </c>
      <c r="B265" t="s">
        <v>321</v>
      </c>
      <c r="C265" t="s">
        <v>36</v>
      </c>
      <c r="D265" t="s">
        <v>37</v>
      </c>
      <c r="E265" t="s">
        <v>34</v>
      </c>
      <c r="F265">
        <v>1</v>
      </c>
      <c r="G265">
        <v>39</v>
      </c>
      <c r="H265">
        <v>2350</v>
      </c>
      <c r="I265">
        <v>18</v>
      </c>
      <c r="J265" t="s">
        <v>373</v>
      </c>
      <c r="K265" t="s">
        <v>375</v>
      </c>
      <c r="L265">
        <v>15</v>
      </c>
      <c r="M265" t="s">
        <v>383</v>
      </c>
      <c r="N265">
        <v>24</v>
      </c>
      <c r="O265">
        <v>24</v>
      </c>
      <c r="P265" t="s">
        <v>384</v>
      </c>
    </row>
    <row r="266" spans="1:16" x14ac:dyDescent="0.35">
      <c r="A266" s="14">
        <v>46104</v>
      </c>
      <c r="B266" t="s">
        <v>322</v>
      </c>
      <c r="C266" t="s">
        <v>83</v>
      </c>
      <c r="D266" t="s">
        <v>84</v>
      </c>
      <c r="E266" t="s">
        <v>38</v>
      </c>
      <c r="F266">
        <v>1</v>
      </c>
      <c r="G266">
        <v>120.19</v>
      </c>
      <c r="H266">
        <v>1432</v>
      </c>
      <c r="I266">
        <v>14</v>
      </c>
      <c r="J266" t="s">
        <v>376</v>
      </c>
      <c r="K266" t="s">
        <v>377</v>
      </c>
      <c r="L266">
        <v>48</v>
      </c>
      <c r="M266" t="s">
        <v>383</v>
      </c>
      <c r="N266">
        <v>72.19</v>
      </c>
      <c r="O266">
        <v>72.19</v>
      </c>
      <c r="P266" t="s">
        <v>384</v>
      </c>
    </row>
    <row r="267" spans="1:16" x14ac:dyDescent="0.35">
      <c r="A267" s="14">
        <v>46104</v>
      </c>
      <c r="B267" t="s">
        <v>323</v>
      </c>
      <c r="C267" t="s">
        <v>55</v>
      </c>
      <c r="D267" t="s">
        <v>56</v>
      </c>
      <c r="E267" t="s">
        <v>34</v>
      </c>
      <c r="F267">
        <v>2</v>
      </c>
      <c r="G267">
        <v>178</v>
      </c>
      <c r="H267">
        <v>1374</v>
      </c>
      <c r="I267">
        <v>14</v>
      </c>
      <c r="J267" t="s">
        <v>376</v>
      </c>
      <c r="K267" t="s">
        <v>375</v>
      </c>
      <c r="L267">
        <v>34</v>
      </c>
      <c r="M267" t="s">
        <v>383</v>
      </c>
      <c r="N267">
        <v>55</v>
      </c>
      <c r="O267">
        <v>110</v>
      </c>
      <c r="P267" t="s">
        <v>384</v>
      </c>
    </row>
    <row r="268" spans="1:16" x14ac:dyDescent="0.35">
      <c r="A268" s="14">
        <v>46104</v>
      </c>
      <c r="B268" t="s">
        <v>324</v>
      </c>
      <c r="C268" t="s">
        <v>44</v>
      </c>
      <c r="D268" t="s">
        <v>45</v>
      </c>
      <c r="E268" t="s">
        <v>34</v>
      </c>
      <c r="F268">
        <v>1</v>
      </c>
      <c r="G268">
        <v>549</v>
      </c>
      <c r="H268">
        <v>1008</v>
      </c>
      <c r="I268">
        <v>12</v>
      </c>
      <c r="J268" t="s">
        <v>367</v>
      </c>
      <c r="K268" t="s">
        <v>369</v>
      </c>
      <c r="L268">
        <v>280</v>
      </c>
      <c r="M268" t="s">
        <v>383</v>
      </c>
      <c r="N268">
        <v>269</v>
      </c>
      <c r="O268">
        <v>269</v>
      </c>
      <c r="P268" t="s">
        <v>384</v>
      </c>
    </row>
    <row r="269" spans="1:16" x14ac:dyDescent="0.35">
      <c r="A269" s="14">
        <v>46105</v>
      </c>
      <c r="B269" t="s">
        <v>325</v>
      </c>
      <c r="C269" t="s">
        <v>83</v>
      </c>
      <c r="D269" t="s">
        <v>84</v>
      </c>
      <c r="E269" t="s">
        <v>38</v>
      </c>
      <c r="F269">
        <v>1</v>
      </c>
      <c r="G269">
        <v>120.19</v>
      </c>
      <c r="H269">
        <v>1432</v>
      </c>
      <c r="I269">
        <v>14</v>
      </c>
      <c r="J269" t="s">
        <v>376</v>
      </c>
      <c r="K269" t="s">
        <v>377</v>
      </c>
      <c r="L269">
        <v>48</v>
      </c>
      <c r="M269" t="s">
        <v>383</v>
      </c>
      <c r="N269">
        <v>72.19</v>
      </c>
      <c r="O269">
        <v>72.19</v>
      </c>
      <c r="P269" t="s">
        <v>384</v>
      </c>
    </row>
    <row r="270" spans="1:16" x14ac:dyDescent="0.35">
      <c r="A270" s="14">
        <v>46105</v>
      </c>
      <c r="B270" t="s">
        <v>326</v>
      </c>
      <c r="C270" t="s">
        <v>79</v>
      </c>
      <c r="D270" t="s">
        <v>80</v>
      </c>
      <c r="E270" t="s">
        <v>42</v>
      </c>
      <c r="F270">
        <v>3</v>
      </c>
      <c r="G270">
        <v>1333.53</v>
      </c>
      <c r="H270">
        <v>772</v>
      </c>
      <c r="I270">
        <v>10</v>
      </c>
      <c r="J270" t="s">
        <v>371</v>
      </c>
      <c r="K270" t="s">
        <v>369</v>
      </c>
      <c r="L270">
        <v>220</v>
      </c>
      <c r="M270" t="s">
        <v>383</v>
      </c>
      <c r="N270">
        <v>224.51</v>
      </c>
      <c r="O270">
        <v>673.53</v>
      </c>
      <c r="P270" t="s">
        <v>384</v>
      </c>
    </row>
    <row r="271" spans="1:16" x14ac:dyDescent="0.35">
      <c r="A271" s="14">
        <v>46105</v>
      </c>
      <c r="B271" t="s">
        <v>327</v>
      </c>
      <c r="C271" t="s">
        <v>47</v>
      </c>
      <c r="D271" t="s">
        <v>48</v>
      </c>
      <c r="E271" t="s">
        <v>42</v>
      </c>
      <c r="F271">
        <v>1</v>
      </c>
      <c r="G271">
        <v>58.41</v>
      </c>
      <c r="H271">
        <v>2442</v>
      </c>
      <c r="I271">
        <v>18</v>
      </c>
      <c r="J271" t="s">
        <v>373</v>
      </c>
      <c r="K271" t="s">
        <v>375</v>
      </c>
      <c r="L271">
        <v>22</v>
      </c>
      <c r="M271" t="s">
        <v>383</v>
      </c>
      <c r="N271">
        <v>36.409999999999997</v>
      </c>
      <c r="O271">
        <v>36.409999999999997</v>
      </c>
      <c r="P271" t="s">
        <v>384</v>
      </c>
    </row>
    <row r="272" spans="1:16" x14ac:dyDescent="0.35">
      <c r="A272" s="14">
        <v>46105</v>
      </c>
      <c r="B272" t="s">
        <v>328</v>
      </c>
      <c r="C272" t="s">
        <v>83</v>
      </c>
      <c r="D272" t="s">
        <v>84</v>
      </c>
      <c r="E272" t="s">
        <v>34</v>
      </c>
      <c r="F272">
        <v>2</v>
      </c>
      <c r="G272">
        <v>238</v>
      </c>
      <c r="H272">
        <v>1432</v>
      </c>
      <c r="I272">
        <v>14</v>
      </c>
      <c r="J272" t="s">
        <v>376</v>
      </c>
      <c r="K272" t="s">
        <v>377</v>
      </c>
      <c r="L272">
        <v>48</v>
      </c>
      <c r="M272" t="s">
        <v>383</v>
      </c>
      <c r="N272">
        <v>71</v>
      </c>
      <c r="O272">
        <v>142</v>
      </c>
      <c r="P272" t="s">
        <v>384</v>
      </c>
    </row>
    <row r="273" spans="1:16" x14ac:dyDescent="0.35">
      <c r="A273" s="14">
        <v>46106</v>
      </c>
      <c r="B273" t="s">
        <v>329</v>
      </c>
      <c r="C273" t="s">
        <v>44</v>
      </c>
      <c r="D273" t="s">
        <v>45</v>
      </c>
      <c r="E273" t="s">
        <v>38</v>
      </c>
      <c r="F273">
        <v>3</v>
      </c>
      <c r="G273">
        <v>1663.47</v>
      </c>
      <c r="H273">
        <v>1008</v>
      </c>
      <c r="I273">
        <v>12</v>
      </c>
      <c r="J273" t="s">
        <v>367</v>
      </c>
      <c r="K273" t="s">
        <v>369</v>
      </c>
      <c r="L273">
        <v>280</v>
      </c>
      <c r="M273" t="s">
        <v>383</v>
      </c>
      <c r="N273">
        <v>274.49</v>
      </c>
      <c r="O273">
        <v>823.47</v>
      </c>
      <c r="P273" t="s">
        <v>384</v>
      </c>
    </row>
    <row r="274" spans="1:16" x14ac:dyDescent="0.35">
      <c r="A274" s="14">
        <v>46106</v>
      </c>
      <c r="B274" t="s">
        <v>330</v>
      </c>
      <c r="C274" t="s">
        <v>55</v>
      </c>
      <c r="D274" t="s">
        <v>56</v>
      </c>
      <c r="E274" t="s">
        <v>42</v>
      </c>
      <c r="F274">
        <v>8</v>
      </c>
      <c r="G274">
        <v>704.88</v>
      </c>
      <c r="H274">
        <v>1374</v>
      </c>
      <c r="I274">
        <v>14</v>
      </c>
      <c r="J274" t="s">
        <v>376</v>
      </c>
      <c r="K274" t="s">
        <v>375</v>
      </c>
      <c r="L274">
        <v>34</v>
      </c>
      <c r="M274" t="s">
        <v>383</v>
      </c>
      <c r="N274">
        <v>54.11</v>
      </c>
      <c r="O274">
        <v>432.88</v>
      </c>
      <c r="P274" t="s">
        <v>384</v>
      </c>
    </row>
    <row r="275" spans="1:16" x14ac:dyDescent="0.35">
      <c r="A275" s="14">
        <v>46106</v>
      </c>
      <c r="B275" t="s">
        <v>331</v>
      </c>
      <c r="C275" t="s">
        <v>47</v>
      </c>
      <c r="D275" t="s">
        <v>48</v>
      </c>
      <c r="E275" t="s">
        <v>34</v>
      </c>
      <c r="F275">
        <v>3</v>
      </c>
      <c r="G275">
        <v>177</v>
      </c>
      <c r="H275">
        <v>2442</v>
      </c>
      <c r="I275">
        <v>18</v>
      </c>
      <c r="J275" t="s">
        <v>373</v>
      </c>
      <c r="K275" t="s">
        <v>375</v>
      </c>
      <c r="L275">
        <v>22</v>
      </c>
      <c r="M275" t="s">
        <v>383</v>
      </c>
      <c r="N275">
        <v>37</v>
      </c>
      <c r="O275">
        <v>111</v>
      </c>
      <c r="P275" t="s">
        <v>384</v>
      </c>
    </row>
    <row r="276" spans="1:16" x14ac:dyDescent="0.35">
      <c r="A276" s="14">
        <v>46106</v>
      </c>
      <c r="B276" t="s">
        <v>332</v>
      </c>
      <c r="C276" t="s">
        <v>47</v>
      </c>
      <c r="D276" t="s">
        <v>48</v>
      </c>
      <c r="E276" t="s">
        <v>38</v>
      </c>
      <c r="F276">
        <v>1</v>
      </c>
      <c r="G276">
        <v>59.59</v>
      </c>
      <c r="H276">
        <v>2442</v>
      </c>
      <c r="I276">
        <v>18</v>
      </c>
      <c r="J276" t="s">
        <v>373</v>
      </c>
      <c r="K276" t="s">
        <v>375</v>
      </c>
      <c r="L276">
        <v>22</v>
      </c>
      <c r="M276" t="s">
        <v>383</v>
      </c>
      <c r="N276">
        <v>37.590000000000003</v>
      </c>
      <c r="O276">
        <v>37.590000000000003</v>
      </c>
      <c r="P276" t="s">
        <v>384</v>
      </c>
    </row>
    <row r="277" spans="1:16" x14ac:dyDescent="0.35">
      <c r="A277" s="14">
        <v>46107</v>
      </c>
      <c r="B277" t="s">
        <v>333</v>
      </c>
      <c r="C277" t="s">
        <v>50</v>
      </c>
      <c r="D277" t="s">
        <v>51</v>
      </c>
      <c r="E277" t="s">
        <v>52</v>
      </c>
      <c r="F277">
        <v>2</v>
      </c>
      <c r="G277">
        <v>252.84</v>
      </c>
      <c r="H277">
        <v>2550</v>
      </c>
      <c r="I277">
        <v>18</v>
      </c>
      <c r="J277" t="s">
        <v>373</v>
      </c>
      <c r="K277" t="s">
        <v>374</v>
      </c>
      <c r="L277">
        <v>58</v>
      </c>
      <c r="M277" t="s">
        <v>383</v>
      </c>
      <c r="N277">
        <v>68.42</v>
      </c>
      <c r="O277">
        <v>136.84</v>
      </c>
      <c r="P277" t="s">
        <v>384</v>
      </c>
    </row>
    <row r="278" spans="1:16" x14ac:dyDescent="0.35">
      <c r="A278" s="14">
        <v>46107</v>
      </c>
      <c r="B278" t="s">
        <v>334</v>
      </c>
      <c r="C278" t="s">
        <v>36</v>
      </c>
      <c r="D278" t="s">
        <v>37</v>
      </c>
      <c r="E278" t="s">
        <v>38</v>
      </c>
      <c r="F278">
        <v>2</v>
      </c>
      <c r="G278">
        <v>78.78</v>
      </c>
      <c r="H278">
        <v>2350</v>
      </c>
      <c r="I278">
        <v>18</v>
      </c>
      <c r="J278" t="s">
        <v>373</v>
      </c>
      <c r="K278" t="s">
        <v>375</v>
      </c>
      <c r="L278">
        <v>15</v>
      </c>
      <c r="M278" t="s">
        <v>383</v>
      </c>
      <c r="N278">
        <v>24.39</v>
      </c>
      <c r="O278">
        <v>48.78</v>
      </c>
      <c r="P278" t="s">
        <v>384</v>
      </c>
    </row>
    <row r="279" spans="1:16" x14ac:dyDescent="0.35">
      <c r="A279" s="14">
        <v>46107</v>
      </c>
      <c r="B279" t="s">
        <v>335</v>
      </c>
      <c r="C279" t="s">
        <v>47</v>
      </c>
      <c r="D279" t="s">
        <v>48</v>
      </c>
      <c r="E279" t="s">
        <v>38</v>
      </c>
      <c r="F279">
        <v>3</v>
      </c>
      <c r="G279">
        <v>178.77</v>
      </c>
      <c r="H279">
        <v>2442</v>
      </c>
      <c r="I279">
        <v>18</v>
      </c>
      <c r="J279" t="s">
        <v>373</v>
      </c>
      <c r="K279" t="s">
        <v>375</v>
      </c>
      <c r="L279">
        <v>22</v>
      </c>
      <c r="M279" t="s">
        <v>383</v>
      </c>
      <c r="N279">
        <v>37.590000000000003</v>
      </c>
      <c r="O279">
        <v>112.77000000000001</v>
      </c>
      <c r="P279" t="s">
        <v>384</v>
      </c>
    </row>
    <row r="280" spans="1:16" x14ac:dyDescent="0.35">
      <c r="A280" s="14">
        <v>46107</v>
      </c>
      <c r="B280" t="s">
        <v>336</v>
      </c>
      <c r="C280" t="s">
        <v>36</v>
      </c>
      <c r="D280" t="s">
        <v>37</v>
      </c>
      <c r="E280" t="s">
        <v>38</v>
      </c>
      <c r="F280">
        <v>5</v>
      </c>
      <c r="G280">
        <v>196.95</v>
      </c>
      <c r="H280">
        <v>2350</v>
      </c>
      <c r="I280">
        <v>18</v>
      </c>
      <c r="J280" t="s">
        <v>373</v>
      </c>
      <c r="K280" t="s">
        <v>375</v>
      </c>
      <c r="L280">
        <v>15</v>
      </c>
      <c r="M280" t="s">
        <v>383</v>
      </c>
      <c r="N280">
        <v>24.39</v>
      </c>
      <c r="O280">
        <v>121.94999999999999</v>
      </c>
      <c r="P280" t="s">
        <v>384</v>
      </c>
    </row>
    <row r="281" spans="1:16" x14ac:dyDescent="0.35">
      <c r="A281" s="14">
        <v>46108</v>
      </c>
      <c r="B281" t="s">
        <v>337</v>
      </c>
      <c r="C281" t="s">
        <v>83</v>
      </c>
      <c r="D281" t="s">
        <v>84</v>
      </c>
      <c r="E281" t="s">
        <v>38</v>
      </c>
      <c r="F281">
        <v>2</v>
      </c>
      <c r="G281">
        <v>240.38</v>
      </c>
      <c r="H281">
        <v>1432</v>
      </c>
      <c r="I281">
        <v>14</v>
      </c>
      <c r="J281" t="s">
        <v>376</v>
      </c>
      <c r="K281" t="s">
        <v>377</v>
      </c>
      <c r="L281">
        <v>48</v>
      </c>
      <c r="M281" t="s">
        <v>383</v>
      </c>
      <c r="N281">
        <v>72.19</v>
      </c>
      <c r="O281">
        <v>144.38</v>
      </c>
      <c r="P281" t="s">
        <v>384</v>
      </c>
    </row>
    <row r="282" spans="1:16" x14ac:dyDescent="0.35">
      <c r="A282" s="14">
        <v>46108</v>
      </c>
      <c r="B282" t="s">
        <v>338</v>
      </c>
      <c r="C282" t="s">
        <v>79</v>
      </c>
      <c r="D282" t="s">
        <v>80</v>
      </c>
      <c r="E282" t="s">
        <v>38</v>
      </c>
      <c r="F282">
        <v>4</v>
      </c>
      <c r="G282">
        <v>1813.96</v>
      </c>
      <c r="H282">
        <v>772</v>
      </c>
      <c r="I282">
        <v>10</v>
      </c>
      <c r="J282" t="s">
        <v>371</v>
      </c>
      <c r="K282" t="s">
        <v>369</v>
      </c>
      <c r="L282">
        <v>220</v>
      </c>
      <c r="M282" t="s">
        <v>383</v>
      </c>
      <c r="N282">
        <v>233.49</v>
      </c>
      <c r="O282">
        <v>933.96</v>
      </c>
      <c r="P282" t="s">
        <v>384</v>
      </c>
    </row>
    <row r="283" spans="1:16" x14ac:dyDescent="0.35">
      <c r="A283" s="14">
        <v>46108</v>
      </c>
      <c r="B283" t="s">
        <v>339</v>
      </c>
      <c r="C283" t="s">
        <v>40</v>
      </c>
      <c r="D283" t="s">
        <v>41</v>
      </c>
      <c r="E283" t="s">
        <v>42</v>
      </c>
      <c r="F283">
        <v>4</v>
      </c>
      <c r="G283">
        <v>5540.04</v>
      </c>
      <c r="H283">
        <v>771</v>
      </c>
      <c r="I283">
        <v>8</v>
      </c>
      <c r="J283" t="s">
        <v>364</v>
      </c>
      <c r="K283" t="s">
        <v>366</v>
      </c>
      <c r="L283">
        <v>860</v>
      </c>
      <c r="M283" t="s">
        <v>383</v>
      </c>
      <c r="N283">
        <v>525.01</v>
      </c>
      <c r="O283">
        <v>2100.04</v>
      </c>
      <c r="P283" t="s">
        <v>385</v>
      </c>
    </row>
    <row r="284" spans="1:16" x14ac:dyDescent="0.35">
      <c r="A284" s="14">
        <v>46108</v>
      </c>
      <c r="B284" t="s">
        <v>340</v>
      </c>
      <c r="C284" t="s">
        <v>73</v>
      </c>
      <c r="D284" t="s">
        <v>74</v>
      </c>
      <c r="E284" t="s">
        <v>34</v>
      </c>
      <c r="F284">
        <v>3</v>
      </c>
      <c r="G284">
        <v>2997</v>
      </c>
      <c r="H284">
        <v>1034</v>
      </c>
      <c r="I284">
        <v>12</v>
      </c>
      <c r="J284" t="s">
        <v>367</v>
      </c>
      <c r="K284" t="s">
        <v>368</v>
      </c>
      <c r="L284">
        <v>640</v>
      </c>
      <c r="M284" t="s">
        <v>383</v>
      </c>
      <c r="N284">
        <v>359</v>
      </c>
      <c r="O284">
        <v>1077</v>
      </c>
      <c r="P284" t="s">
        <v>385</v>
      </c>
    </row>
    <row r="285" spans="1:16" x14ac:dyDescent="0.35">
      <c r="A285" s="14">
        <v>46109</v>
      </c>
      <c r="B285" t="s">
        <v>341</v>
      </c>
      <c r="C285" t="s">
        <v>50</v>
      </c>
      <c r="D285" t="s">
        <v>51</v>
      </c>
      <c r="E285" t="s">
        <v>52</v>
      </c>
      <c r="F285">
        <v>5</v>
      </c>
      <c r="G285">
        <v>632.1</v>
      </c>
      <c r="H285">
        <v>2550</v>
      </c>
      <c r="I285">
        <v>18</v>
      </c>
      <c r="J285" t="s">
        <v>373</v>
      </c>
      <c r="K285" t="s">
        <v>374</v>
      </c>
      <c r="L285">
        <v>58</v>
      </c>
      <c r="M285" t="s">
        <v>383</v>
      </c>
      <c r="N285">
        <v>68.42</v>
      </c>
      <c r="O285">
        <v>342.1</v>
      </c>
      <c r="P285" t="s">
        <v>384</v>
      </c>
    </row>
    <row r="286" spans="1:16" x14ac:dyDescent="0.35">
      <c r="A286" s="14">
        <v>46109</v>
      </c>
      <c r="B286" t="s">
        <v>342</v>
      </c>
      <c r="C286" t="s">
        <v>44</v>
      </c>
      <c r="D286" t="s">
        <v>45</v>
      </c>
      <c r="E286" t="s">
        <v>52</v>
      </c>
      <c r="F286">
        <v>2</v>
      </c>
      <c r="G286">
        <v>1076.04</v>
      </c>
      <c r="H286">
        <v>1008</v>
      </c>
      <c r="I286">
        <v>12</v>
      </c>
      <c r="J286" t="s">
        <v>367</v>
      </c>
      <c r="K286" t="s">
        <v>369</v>
      </c>
      <c r="L286">
        <v>280</v>
      </c>
      <c r="M286" t="s">
        <v>383</v>
      </c>
      <c r="N286">
        <v>258.02</v>
      </c>
      <c r="O286">
        <v>516.04</v>
      </c>
      <c r="P286" t="s">
        <v>384</v>
      </c>
    </row>
    <row r="287" spans="1:16" x14ac:dyDescent="0.35">
      <c r="A287" s="14">
        <v>46109</v>
      </c>
      <c r="B287" t="s">
        <v>343</v>
      </c>
      <c r="C287" t="s">
        <v>36</v>
      </c>
      <c r="D287" t="s">
        <v>37</v>
      </c>
      <c r="E287" t="s">
        <v>38</v>
      </c>
      <c r="F287">
        <v>2</v>
      </c>
      <c r="G287">
        <v>78.78</v>
      </c>
      <c r="H287">
        <v>2350</v>
      </c>
      <c r="I287">
        <v>18</v>
      </c>
      <c r="J287" t="s">
        <v>373</v>
      </c>
      <c r="K287" t="s">
        <v>375</v>
      </c>
      <c r="L287">
        <v>15</v>
      </c>
      <c r="M287" t="s">
        <v>383</v>
      </c>
      <c r="N287">
        <v>24.39</v>
      </c>
      <c r="O287">
        <v>48.78</v>
      </c>
      <c r="P287" t="s">
        <v>384</v>
      </c>
    </row>
    <row r="288" spans="1:16" x14ac:dyDescent="0.35">
      <c r="A288" s="14">
        <v>46110</v>
      </c>
      <c r="B288" t="s">
        <v>344</v>
      </c>
      <c r="C288" t="s">
        <v>55</v>
      </c>
      <c r="D288" t="s">
        <v>56</v>
      </c>
      <c r="E288" t="s">
        <v>34</v>
      </c>
      <c r="F288">
        <v>8</v>
      </c>
      <c r="G288">
        <v>712</v>
      </c>
      <c r="H288">
        <v>1374</v>
      </c>
      <c r="I288">
        <v>14</v>
      </c>
      <c r="J288" t="s">
        <v>376</v>
      </c>
      <c r="K288" t="s">
        <v>375</v>
      </c>
      <c r="L288">
        <v>34</v>
      </c>
      <c r="M288" t="s">
        <v>383</v>
      </c>
      <c r="N288">
        <v>55</v>
      </c>
      <c r="O288">
        <v>440</v>
      </c>
      <c r="P288" t="s">
        <v>384</v>
      </c>
    </row>
    <row r="289" spans="1:16" x14ac:dyDescent="0.35">
      <c r="A289" s="14">
        <v>46110</v>
      </c>
      <c r="B289" t="s">
        <v>345</v>
      </c>
      <c r="C289" t="s">
        <v>83</v>
      </c>
      <c r="D289" t="s">
        <v>84</v>
      </c>
      <c r="E289" t="s">
        <v>38</v>
      </c>
      <c r="F289">
        <v>8</v>
      </c>
      <c r="G289">
        <v>961.52</v>
      </c>
      <c r="H289">
        <v>1432</v>
      </c>
      <c r="I289">
        <v>14</v>
      </c>
      <c r="J289" t="s">
        <v>376</v>
      </c>
      <c r="K289" t="s">
        <v>377</v>
      </c>
      <c r="L289">
        <v>48</v>
      </c>
      <c r="M289" t="s">
        <v>383</v>
      </c>
      <c r="N289">
        <v>72.19</v>
      </c>
      <c r="O289">
        <v>577.52</v>
      </c>
      <c r="P289" t="s">
        <v>384</v>
      </c>
    </row>
    <row r="290" spans="1:16" x14ac:dyDescent="0.35">
      <c r="A290" s="14">
        <v>46111</v>
      </c>
      <c r="B290" t="s">
        <v>346</v>
      </c>
      <c r="C290" t="s">
        <v>36</v>
      </c>
      <c r="D290" t="s">
        <v>37</v>
      </c>
      <c r="E290" t="s">
        <v>42</v>
      </c>
      <c r="F290">
        <v>4</v>
      </c>
      <c r="G290">
        <v>154.44</v>
      </c>
      <c r="H290">
        <v>2350</v>
      </c>
      <c r="I290">
        <v>18</v>
      </c>
      <c r="J290" t="s">
        <v>373</v>
      </c>
      <c r="K290" t="s">
        <v>375</v>
      </c>
      <c r="L290">
        <v>15</v>
      </c>
      <c r="M290" t="s">
        <v>383</v>
      </c>
      <c r="N290">
        <v>23.61</v>
      </c>
      <c r="O290">
        <v>94.44</v>
      </c>
      <c r="P290" t="s">
        <v>384</v>
      </c>
    </row>
    <row r="291" spans="1:16" x14ac:dyDescent="0.35">
      <c r="A291" s="14">
        <v>46111</v>
      </c>
      <c r="B291" t="s">
        <v>347</v>
      </c>
      <c r="C291" t="s">
        <v>32</v>
      </c>
      <c r="D291" t="s">
        <v>33</v>
      </c>
      <c r="E291" t="s">
        <v>42</v>
      </c>
      <c r="F291">
        <v>2</v>
      </c>
      <c r="G291">
        <v>2374.02</v>
      </c>
      <c r="H291">
        <v>707</v>
      </c>
      <c r="I291">
        <v>8</v>
      </c>
      <c r="J291" t="s">
        <v>364</v>
      </c>
      <c r="K291" t="s">
        <v>365</v>
      </c>
      <c r="L291">
        <v>720</v>
      </c>
      <c r="M291" t="s">
        <v>383</v>
      </c>
      <c r="N291">
        <v>467.01</v>
      </c>
      <c r="O291">
        <v>934.02</v>
      </c>
      <c r="P291" t="s">
        <v>385</v>
      </c>
    </row>
    <row r="292" spans="1:16" x14ac:dyDescent="0.35">
      <c r="A292" s="14">
        <v>46111</v>
      </c>
      <c r="B292" t="s">
        <v>348</v>
      </c>
      <c r="C292" t="s">
        <v>47</v>
      </c>
      <c r="D292" t="s">
        <v>48</v>
      </c>
      <c r="E292" t="s">
        <v>38</v>
      </c>
      <c r="F292">
        <v>3</v>
      </c>
      <c r="G292">
        <v>178.77</v>
      </c>
      <c r="H292">
        <v>2442</v>
      </c>
      <c r="I292">
        <v>18</v>
      </c>
      <c r="J292" t="s">
        <v>373</v>
      </c>
      <c r="K292" t="s">
        <v>375</v>
      </c>
      <c r="L292">
        <v>22</v>
      </c>
      <c r="M292" t="s">
        <v>383</v>
      </c>
      <c r="N292">
        <v>37.590000000000003</v>
      </c>
      <c r="O292">
        <v>112.77000000000001</v>
      </c>
      <c r="P292" t="s">
        <v>384</v>
      </c>
    </row>
    <row r="293" spans="1:16" x14ac:dyDescent="0.35">
      <c r="A293" s="14">
        <v>46111</v>
      </c>
      <c r="B293" t="s">
        <v>349</v>
      </c>
      <c r="C293" t="s">
        <v>36</v>
      </c>
      <c r="D293" t="s">
        <v>37</v>
      </c>
      <c r="E293" t="s">
        <v>52</v>
      </c>
      <c r="F293">
        <v>1</v>
      </c>
      <c r="G293">
        <v>38.22</v>
      </c>
      <c r="H293">
        <v>2350</v>
      </c>
      <c r="I293">
        <v>18</v>
      </c>
      <c r="J293" t="s">
        <v>373</v>
      </c>
      <c r="K293" t="s">
        <v>375</v>
      </c>
      <c r="L293">
        <v>15</v>
      </c>
      <c r="M293" t="s">
        <v>383</v>
      </c>
      <c r="N293">
        <v>23.22</v>
      </c>
      <c r="O293">
        <v>23.22</v>
      </c>
      <c r="P293" t="s">
        <v>384</v>
      </c>
    </row>
    <row r="294" spans="1:16" x14ac:dyDescent="0.35">
      <c r="A294" s="14">
        <v>46112</v>
      </c>
      <c r="B294" t="s">
        <v>350</v>
      </c>
      <c r="C294" t="s">
        <v>32</v>
      </c>
      <c r="D294" t="s">
        <v>33</v>
      </c>
      <c r="E294" t="s">
        <v>52</v>
      </c>
      <c r="F294">
        <v>3</v>
      </c>
      <c r="G294">
        <v>3525.06</v>
      </c>
      <c r="H294">
        <v>707</v>
      </c>
      <c r="I294">
        <v>8</v>
      </c>
      <c r="J294" t="s">
        <v>364</v>
      </c>
      <c r="K294" t="s">
        <v>365</v>
      </c>
      <c r="L294">
        <v>720</v>
      </c>
      <c r="M294" t="s">
        <v>383</v>
      </c>
      <c r="N294">
        <v>455.02</v>
      </c>
      <c r="O294">
        <v>1365.06</v>
      </c>
      <c r="P294" t="s">
        <v>385</v>
      </c>
    </row>
    <row r="295" spans="1:16" x14ac:dyDescent="0.35">
      <c r="A295" s="14">
        <v>46112</v>
      </c>
      <c r="B295" t="s">
        <v>351</v>
      </c>
      <c r="C295" t="s">
        <v>55</v>
      </c>
      <c r="D295" t="s">
        <v>56</v>
      </c>
      <c r="E295" t="s">
        <v>34</v>
      </c>
      <c r="F295">
        <v>1</v>
      </c>
      <c r="G295">
        <v>89</v>
      </c>
      <c r="H295">
        <v>1374</v>
      </c>
      <c r="I295">
        <v>14</v>
      </c>
      <c r="J295" t="s">
        <v>376</v>
      </c>
      <c r="K295" t="s">
        <v>375</v>
      </c>
      <c r="L295">
        <v>34</v>
      </c>
      <c r="M295" t="s">
        <v>383</v>
      </c>
      <c r="N295">
        <v>55</v>
      </c>
      <c r="O295">
        <v>55</v>
      </c>
      <c r="P295" t="s">
        <v>384</v>
      </c>
    </row>
    <row r="296" spans="1:16" x14ac:dyDescent="0.35">
      <c r="A296" s="14">
        <v>46112</v>
      </c>
      <c r="B296" t="s">
        <v>352</v>
      </c>
      <c r="C296" t="s">
        <v>36</v>
      </c>
      <c r="D296" t="s">
        <v>37</v>
      </c>
      <c r="E296" t="s">
        <v>52</v>
      </c>
      <c r="F296">
        <v>2</v>
      </c>
      <c r="G296">
        <v>76.44</v>
      </c>
      <c r="H296">
        <v>2350</v>
      </c>
      <c r="I296">
        <v>18</v>
      </c>
      <c r="J296" t="s">
        <v>373</v>
      </c>
      <c r="K296" t="s">
        <v>375</v>
      </c>
      <c r="L296">
        <v>15</v>
      </c>
      <c r="M296" t="s">
        <v>383</v>
      </c>
      <c r="N296">
        <v>23.22</v>
      </c>
      <c r="O296">
        <v>46.44</v>
      </c>
      <c r="P296" t="s">
        <v>384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97"/>
  <sheetViews>
    <sheetView showGridLines="0" workbookViewId="0">
      <selection activeCell="F15" sqref="F15"/>
    </sheetView>
  </sheetViews>
  <sheetFormatPr defaultRowHeight="14.5" x14ac:dyDescent="0.35"/>
  <cols>
    <col min="1" max="1" width="13" customWidth="1"/>
    <col min="2" max="2" width="10" customWidth="1"/>
    <col min="3" max="3" width="7" customWidth="1"/>
    <col min="4" max="4" width="17" customWidth="1"/>
    <col min="5" max="5" width="8" customWidth="1"/>
    <col min="6" max="6" width="10" customWidth="1"/>
    <col min="7" max="7" width="14" customWidth="1"/>
    <col min="9" max="9" width="28" customWidth="1"/>
  </cols>
  <sheetData>
    <row r="1" spans="1:9" ht="18.5" x14ac:dyDescent="0.45">
      <c r="A1" s="58" t="s">
        <v>23</v>
      </c>
      <c r="B1" s="55"/>
      <c r="C1" s="55"/>
      <c r="D1" s="55"/>
      <c r="E1" s="55"/>
      <c r="F1" s="55"/>
      <c r="G1" s="55"/>
    </row>
    <row r="2" spans="1:9" x14ac:dyDescent="0.35">
      <c r="A2" s="4" t="s">
        <v>24</v>
      </c>
      <c r="B2" s="4" t="s">
        <v>25</v>
      </c>
      <c r="C2" s="4" t="s">
        <v>26</v>
      </c>
      <c r="D2" s="4" t="s">
        <v>27</v>
      </c>
      <c r="E2" s="4" t="s">
        <v>28</v>
      </c>
      <c r="F2" s="4" t="s">
        <v>29</v>
      </c>
      <c r="G2" s="4" t="s">
        <v>30</v>
      </c>
      <c r="I2" s="5"/>
    </row>
    <row r="3" spans="1:9" x14ac:dyDescent="0.35">
      <c r="A3" s="6">
        <v>46023</v>
      </c>
      <c r="B3" s="7" t="s">
        <v>31</v>
      </c>
      <c r="C3" s="7" t="s">
        <v>32</v>
      </c>
      <c r="D3" s="7" t="s">
        <v>33</v>
      </c>
      <c r="E3" s="7" t="s">
        <v>34</v>
      </c>
      <c r="F3" s="8">
        <v>1</v>
      </c>
      <c r="G3" s="9">
        <v>1199</v>
      </c>
    </row>
    <row r="4" spans="1:9" x14ac:dyDescent="0.35">
      <c r="A4" s="6">
        <v>46023</v>
      </c>
      <c r="B4" s="7" t="s">
        <v>35</v>
      </c>
      <c r="C4" s="7" t="s">
        <v>36</v>
      </c>
      <c r="D4" s="7" t="s">
        <v>37</v>
      </c>
      <c r="E4" s="7" t="s">
        <v>38</v>
      </c>
      <c r="F4" s="8">
        <v>5</v>
      </c>
      <c r="G4" s="9">
        <v>196.95</v>
      </c>
    </row>
    <row r="5" spans="1:9" x14ac:dyDescent="0.35">
      <c r="A5" s="6">
        <v>46023</v>
      </c>
      <c r="B5" s="7" t="s">
        <v>39</v>
      </c>
      <c r="C5" s="7" t="s">
        <v>40</v>
      </c>
      <c r="D5" s="7" t="s">
        <v>41</v>
      </c>
      <c r="E5" s="7" t="s">
        <v>42</v>
      </c>
      <c r="F5" s="8">
        <v>1</v>
      </c>
      <c r="G5" s="9">
        <v>1385.01</v>
      </c>
    </row>
    <row r="6" spans="1:9" x14ac:dyDescent="0.35">
      <c r="A6" s="6">
        <v>46023</v>
      </c>
      <c r="B6" s="7" t="s">
        <v>43</v>
      </c>
      <c r="C6" s="7" t="s">
        <v>44</v>
      </c>
      <c r="D6" s="7" t="s">
        <v>45</v>
      </c>
      <c r="E6" s="7" t="s">
        <v>42</v>
      </c>
      <c r="F6" s="8">
        <v>1</v>
      </c>
      <c r="G6" s="9">
        <v>543.51</v>
      </c>
    </row>
    <row r="7" spans="1:9" x14ac:dyDescent="0.35">
      <c r="A7" s="6">
        <v>46024</v>
      </c>
      <c r="B7" s="7" t="s">
        <v>46</v>
      </c>
      <c r="C7" s="7" t="s">
        <v>47</v>
      </c>
      <c r="D7" s="7" t="s">
        <v>48</v>
      </c>
      <c r="E7" s="7" t="s">
        <v>42</v>
      </c>
      <c r="F7" s="8">
        <v>1</v>
      </c>
      <c r="G7" s="9">
        <v>58.41</v>
      </c>
    </row>
    <row r="8" spans="1:9" x14ac:dyDescent="0.35">
      <c r="A8" s="6">
        <v>46024</v>
      </c>
      <c r="B8" s="7" t="s">
        <v>49</v>
      </c>
      <c r="C8" s="7" t="s">
        <v>50</v>
      </c>
      <c r="D8" s="7" t="s">
        <v>51</v>
      </c>
      <c r="E8" s="7" t="s">
        <v>52</v>
      </c>
      <c r="F8" s="8">
        <v>1</v>
      </c>
      <c r="G8" s="9">
        <v>126.42</v>
      </c>
    </row>
    <row r="9" spans="1:9" x14ac:dyDescent="0.35">
      <c r="A9" s="6">
        <v>46024</v>
      </c>
      <c r="B9" s="7" t="s">
        <v>53</v>
      </c>
      <c r="C9" s="7" t="s">
        <v>36</v>
      </c>
      <c r="D9" s="7" t="s">
        <v>37</v>
      </c>
      <c r="E9" s="7" t="s">
        <v>38</v>
      </c>
      <c r="F9" s="8">
        <v>2</v>
      </c>
      <c r="G9" s="9">
        <v>78.78</v>
      </c>
    </row>
    <row r="10" spans="1:9" x14ac:dyDescent="0.35">
      <c r="A10" s="6">
        <v>46025</v>
      </c>
      <c r="B10" s="7" t="s">
        <v>54</v>
      </c>
      <c r="C10" s="7" t="s">
        <v>55</v>
      </c>
      <c r="D10" s="7" t="s">
        <v>56</v>
      </c>
      <c r="E10" s="7" t="s">
        <v>42</v>
      </c>
      <c r="F10" s="8">
        <v>1</v>
      </c>
      <c r="G10" s="9">
        <v>88.11</v>
      </c>
    </row>
    <row r="11" spans="1:9" x14ac:dyDescent="0.35">
      <c r="A11" s="6">
        <v>46025</v>
      </c>
      <c r="B11" s="7" t="s">
        <v>57</v>
      </c>
      <c r="C11" s="7" t="s">
        <v>40</v>
      </c>
      <c r="D11" s="7" t="s">
        <v>41</v>
      </c>
      <c r="E11" s="7" t="s">
        <v>52</v>
      </c>
      <c r="F11" s="8">
        <v>3</v>
      </c>
      <c r="G11" s="9">
        <v>4113.0600000000004</v>
      </c>
    </row>
    <row r="12" spans="1:9" x14ac:dyDescent="0.35">
      <c r="A12" s="6">
        <v>46026</v>
      </c>
      <c r="B12" s="7" t="s">
        <v>58</v>
      </c>
      <c r="C12" s="7" t="s">
        <v>36</v>
      </c>
      <c r="D12" s="7" t="s">
        <v>37</v>
      </c>
      <c r="E12" s="7" t="s">
        <v>42</v>
      </c>
      <c r="F12" s="8">
        <v>8</v>
      </c>
      <c r="G12" s="9">
        <v>308.88</v>
      </c>
    </row>
    <row r="13" spans="1:9" x14ac:dyDescent="0.35">
      <c r="A13" s="6">
        <v>46026</v>
      </c>
      <c r="B13" s="7" t="s">
        <v>59</v>
      </c>
      <c r="C13" s="7" t="s">
        <v>60</v>
      </c>
      <c r="D13" s="7" t="s">
        <v>61</v>
      </c>
      <c r="E13" s="7" t="s">
        <v>42</v>
      </c>
      <c r="F13" s="8">
        <v>5</v>
      </c>
      <c r="G13" s="9">
        <v>1628.55</v>
      </c>
    </row>
    <row r="14" spans="1:9" x14ac:dyDescent="0.35">
      <c r="A14" s="6">
        <v>46026</v>
      </c>
      <c r="B14" s="7" t="s">
        <v>62</v>
      </c>
      <c r="C14" s="7" t="s">
        <v>47</v>
      </c>
      <c r="D14" s="7" t="s">
        <v>48</v>
      </c>
      <c r="E14" s="7" t="s">
        <v>52</v>
      </c>
      <c r="F14" s="8">
        <v>3</v>
      </c>
      <c r="G14" s="9">
        <v>173.46</v>
      </c>
    </row>
    <row r="15" spans="1:9" x14ac:dyDescent="0.35">
      <c r="A15" s="6">
        <v>46027</v>
      </c>
      <c r="B15" s="7" t="s">
        <v>63</v>
      </c>
      <c r="C15" s="7" t="s">
        <v>32</v>
      </c>
      <c r="D15" s="7" t="s">
        <v>33</v>
      </c>
      <c r="E15" s="7" t="s">
        <v>34</v>
      </c>
      <c r="F15" s="8">
        <v>2</v>
      </c>
      <c r="G15" s="9">
        <v>2398</v>
      </c>
    </row>
    <row r="16" spans="1:9" x14ac:dyDescent="0.35">
      <c r="A16" s="6">
        <v>46027</v>
      </c>
      <c r="B16" s="7" t="s">
        <v>64</v>
      </c>
      <c r="C16" s="7" t="s">
        <v>40</v>
      </c>
      <c r="D16" s="7" t="s">
        <v>41</v>
      </c>
      <c r="E16" s="7" t="s">
        <v>34</v>
      </c>
      <c r="F16" s="8">
        <v>1</v>
      </c>
      <c r="G16" s="9">
        <v>1399</v>
      </c>
    </row>
    <row r="17" spans="1:7" x14ac:dyDescent="0.35">
      <c r="A17" s="6">
        <v>46027</v>
      </c>
      <c r="B17" s="7" t="s">
        <v>65</v>
      </c>
      <c r="C17" s="7" t="s">
        <v>44</v>
      </c>
      <c r="D17" s="7" t="s">
        <v>45</v>
      </c>
      <c r="E17" s="7" t="s">
        <v>38</v>
      </c>
      <c r="F17" s="8">
        <v>2</v>
      </c>
      <c r="G17" s="9">
        <v>1108.98</v>
      </c>
    </row>
    <row r="18" spans="1:7" x14ac:dyDescent="0.35">
      <c r="A18" s="6">
        <v>46027</v>
      </c>
      <c r="B18" s="7" t="s">
        <v>66</v>
      </c>
      <c r="C18" s="7" t="s">
        <v>60</v>
      </c>
      <c r="D18" s="7" t="s">
        <v>61</v>
      </c>
      <c r="E18" s="7" t="s">
        <v>34</v>
      </c>
      <c r="F18" s="8">
        <v>1</v>
      </c>
      <c r="G18" s="9">
        <v>329</v>
      </c>
    </row>
    <row r="19" spans="1:7" x14ac:dyDescent="0.35">
      <c r="A19" s="6">
        <v>46028</v>
      </c>
      <c r="B19" s="7" t="s">
        <v>67</v>
      </c>
      <c r="C19" s="7" t="s">
        <v>47</v>
      </c>
      <c r="D19" s="7" t="s">
        <v>48</v>
      </c>
      <c r="E19" s="7" t="s">
        <v>38</v>
      </c>
      <c r="F19" s="8">
        <v>1</v>
      </c>
      <c r="G19" s="9">
        <v>59.59</v>
      </c>
    </row>
    <row r="20" spans="1:7" x14ac:dyDescent="0.35">
      <c r="A20" s="6">
        <v>46028</v>
      </c>
      <c r="B20" s="7" t="s">
        <v>68</v>
      </c>
      <c r="C20" s="7" t="s">
        <v>36</v>
      </c>
      <c r="D20" s="7" t="s">
        <v>37</v>
      </c>
      <c r="E20" s="7" t="s">
        <v>34</v>
      </c>
      <c r="F20" s="8">
        <v>2</v>
      </c>
      <c r="G20" s="9">
        <v>78</v>
      </c>
    </row>
    <row r="21" spans="1:7" x14ac:dyDescent="0.35">
      <c r="A21" s="6">
        <v>46028</v>
      </c>
      <c r="B21" s="7" t="s">
        <v>69</v>
      </c>
      <c r="C21" s="7" t="s">
        <v>55</v>
      </c>
      <c r="D21" s="7" t="s">
        <v>56</v>
      </c>
      <c r="E21" s="7" t="s">
        <v>38</v>
      </c>
      <c r="F21" s="8">
        <v>3</v>
      </c>
      <c r="G21" s="9">
        <v>269.67</v>
      </c>
    </row>
    <row r="22" spans="1:7" x14ac:dyDescent="0.35">
      <c r="A22" s="6">
        <v>46028</v>
      </c>
      <c r="B22" s="7" t="s">
        <v>70</v>
      </c>
      <c r="C22" s="7" t="s">
        <v>47</v>
      </c>
      <c r="D22" s="7" t="s">
        <v>48</v>
      </c>
      <c r="E22" s="7" t="s">
        <v>52</v>
      </c>
      <c r="F22" s="8">
        <v>4</v>
      </c>
      <c r="G22" s="9">
        <v>231.28</v>
      </c>
    </row>
    <row r="23" spans="1:7" x14ac:dyDescent="0.35">
      <c r="A23" s="6">
        <v>46029</v>
      </c>
      <c r="B23" s="7" t="s">
        <v>71</v>
      </c>
      <c r="C23" s="7" t="s">
        <v>32</v>
      </c>
      <c r="D23" s="7" t="s">
        <v>33</v>
      </c>
      <c r="E23" s="7" t="s">
        <v>42</v>
      </c>
      <c r="F23" s="8">
        <v>1</v>
      </c>
      <c r="G23" s="9">
        <v>1187.01</v>
      </c>
    </row>
    <row r="24" spans="1:7" x14ac:dyDescent="0.35">
      <c r="A24" s="6">
        <v>46029</v>
      </c>
      <c r="B24" s="7" t="s">
        <v>72</v>
      </c>
      <c r="C24" s="7" t="s">
        <v>73</v>
      </c>
      <c r="D24" s="7" t="s">
        <v>74</v>
      </c>
      <c r="E24" s="7" t="s">
        <v>52</v>
      </c>
      <c r="F24" s="8">
        <v>5</v>
      </c>
      <c r="G24" s="9">
        <v>4895.1000000000004</v>
      </c>
    </row>
    <row r="25" spans="1:7" x14ac:dyDescent="0.35">
      <c r="A25" s="6">
        <v>46029</v>
      </c>
      <c r="B25" s="7" t="s">
        <v>75</v>
      </c>
      <c r="C25" s="7" t="s">
        <v>76</v>
      </c>
      <c r="D25" s="7" t="s">
        <v>77</v>
      </c>
      <c r="E25" s="7" t="s">
        <v>38</v>
      </c>
      <c r="F25" s="8">
        <v>2</v>
      </c>
      <c r="G25" s="9">
        <v>1411.98</v>
      </c>
    </row>
    <row r="26" spans="1:7" x14ac:dyDescent="0.35">
      <c r="A26" s="6">
        <v>46030</v>
      </c>
      <c r="B26" s="7" t="s">
        <v>78</v>
      </c>
      <c r="C26" s="7" t="s">
        <v>79</v>
      </c>
      <c r="D26" s="7" t="s">
        <v>80</v>
      </c>
      <c r="E26" s="7" t="s">
        <v>34</v>
      </c>
      <c r="F26" s="8">
        <v>1</v>
      </c>
      <c r="G26" s="9">
        <v>449</v>
      </c>
    </row>
    <row r="27" spans="1:7" x14ac:dyDescent="0.35">
      <c r="A27" s="6">
        <v>46030</v>
      </c>
      <c r="B27" s="7" t="s">
        <v>81</v>
      </c>
      <c r="C27" s="7" t="s">
        <v>50</v>
      </c>
      <c r="D27" s="7" t="s">
        <v>51</v>
      </c>
      <c r="E27" s="7" t="s">
        <v>34</v>
      </c>
      <c r="F27" s="8">
        <v>3</v>
      </c>
      <c r="G27" s="9">
        <v>387</v>
      </c>
    </row>
    <row r="28" spans="1:7" x14ac:dyDescent="0.35">
      <c r="A28" s="6">
        <v>46030</v>
      </c>
      <c r="B28" s="7" t="s">
        <v>82</v>
      </c>
      <c r="C28" s="7" t="s">
        <v>83</v>
      </c>
      <c r="D28" s="7" t="s">
        <v>84</v>
      </c>
      <c r="E28" s="7" t="s">
        <v>42</v>
      </c>
      <c r="F28" s="8">
        <v>1</v>
      </c>
      <c r="G28" s="9">
        <v>117.81</v>
      </c>
    </row>
    <row r="29" spans="1:7" x14ac:dyDescent="0.35">
      <c r="A29" s="6">
        <v>46030</v>
      </c>
      <c r="B29" s="7" t="s">
        <v>85</v>
      </c>
      <c r="C29" s="7" t="s">
        <v>55</v>
      </c>
      <c r="D29" s="7" t="s">
        <v>56</v>
      </c>
      <c r="E29" s="7" t="s">
        <v>42</v>
      </c>
      <c r="F29" s="8">
        <v>1</v>
      </c>
      <c r="G29" s="9">
        <v>88.11</v>
      </c>
    </row>
    <row r="30" spans="1:7" x14ac:dyDescent="0.35">
      <c r="A30" s="6">
        <v>46031</v>
      </c>
      <c r="B30" s="7" t="s">
        <v>86</v>
      </c>
      <c r="C30" s="7" t="s">
        <v>40</v>
      </c>
      <c r="D30" s="7" t="s">
        <v>41</v>
      </c>
      <c r="E30" s="7" t="s">
        <v>38</v>
      </c>
      <c r="F30" s="8">
        <v>4</v>
      </c>
      <c r="G30" s="9">
        <v>5651.96</v>
      </c>
    </row>
    <row r="31" spans="1:7" x14ac:dyDescent="0.35">
      <c r="A31" s="6">
        <v>46031</v>
      </c>
      <c r="B31" s="7" t="s">
        <v>87</v>
      </c>
      <c r="C31" s="7" t="s">
        <v>60</v>
      </c>
      <c r="D31" s="7" t="s">
        <v>61</v>
      </c>
      <c r="E31" s="7" t="s">
        <v>34</v>
      </c>
      <c r="F31" s="8">
        <v>2</v>
      </c>
      <c r="G31" s="9">
        <v>658</v>
      </c>
    </row>
    <row r="32" spans="1:7" x14ac:dyDescent="0.35">
      <c r="A32" s="6">
        <v>46031</v>
      </c>
      <c r="B32" s="7" t="s">
        <v>88</v>
      </c>
      <c r="C32" s="7" t="s">
        <v>55</v>
      </c>
      <c r="D32" s="7" t="s">
        <v>56</v>
      </c>
      <c r="E32" s="7" t="s">
        <v>42</v>
      </c>
      <c r="F32" s="8">
        <v>8</v>
      </c>
      <c r="G32" s="9">
        <v>704.88</v>
      </c>
    </row>
    <row r="33" spans="1:7" x14ac:dyDescent="0.35">
      <c r="A33" s="6">
        <v>46032</v>
      </c>
      <c r="B33" s="7" t="s">
        <v>89</v>
      </c>
      <c r="C33" s="7" t="s">
        <v>32</v>
      </c>
      <c r="D33" s="7" t="s">
        <v>33</v>
      </c>
      <c r="E33" s="7" t="s">
        <v>38</v>
      </c>
      <c r="F33" s="8">
        <v>3</v>
      </c>
      <c r="G33" s="9">
        <v>3632.97</v>
      </c>
    </row>
    <row r="34" spans="1:7" x14ac:dyDescent="0.35">
      <c r="A34" s="6">
        <v>46032</v>
      </c>
      <c r="B34" s="7" t="s">
        <v>90</v>
      </c>
      <c r="C34" s="7" t="s">
        <v>50</v>
      </c>
      <c r="D34" s="7" t="s">
        <v>51</v>
      </c>
      <c r="E34" s="7" t="s">
        <v>34</v>
      </c>
      <c r="F34" s="8">
        <v>3</v>
      </c>
      <c r="G34" s="9">
        <v>387</v>
      </c>
    </row>
    <row r="35" spans="1:7" x14ac:dyDescent="0.35">
      <c r="A35" s="6">
        <v>46032</v>
      </c>
      <c r="B35" s="7" t="s">
        <v>91</v>
      </c>
      <c r="C35" s="7" t="s">
        <v>40</v>
      </c>
      <c r="D35" s="7" t="s">
        <v>41</v>
      </c>
      <c r="E35" s="7" t="s">
        <v>42</v>
      </c>
      <c r="F35" s="8">
        <v>2</v>
      </c>
      <c r="G35" s="9">
        <v>2770.02</v>
      </c>
    </row>
    <row r="36" spans="1:7" x14ac:dyDescent="0.35">
      <c r="A36" s="6">
        <v>46033</v>
      </c>
      <c r="B36" s="7" t="s">
        <v>92</v>
      </c>
      <c r="C36" s="7" t="s">
        <v>83</v>
      </c>
      <c r="D36" s="7" t="s">
        <v>84</v>
      </c>
      <c r="E36" s="7" t="s">
        <v>34</v>
      </c>
      <c r="F36" s="8">
        <v>2</v>
      </c>
      <c r="G36" s="9">
        <v>238</v>
      </c>
    </row>
    <row r="37" spans="1:7" x14ac:dyDescent="0.35">
      <c r="A37" s="6">
        <v>46033</v>
      </c>
      <c r="B37" s="13" t="s">
        <v>378</v>
      </c>
      <c r="C37" s="7" t="s">
        <v>73</v>
      </c>
      <c r="D37" s="7" t="s">
        <v>74</v>
      </c>
      <c r="E37" s="7" t="s">
        <v>52</v>
      </c>
      <c r="F37" s="8">
        <v>5</v>
      </c>
      <c r="G37" s="9">
        <v>4895.1000000000004</v>
      </c>
    </row>
    <row r="38" spans="1:7" x14ac:dyDescent="0.35">
      <c r="A38" s="6">
        <v>46033</v>
      </c>
      <c r="B38" s="7" t="s">
        <v>93</v>
      </c>
      <c r="C38" s="7" t="s">
        <v>44</v>
      </c>
      <c r="D38" s="7" t="s">
        <v>45</v>
      </c>
      <c r="E38" s="7" t="s">
        <v>38</v>
      </c>
      <c r="F38" s="8">
        <v>3</v>
      </c>
      <c r="G38" s="9">
        <v>1663.47</v>
      </c>
    </row>
    <row r="39" spans="1:7" x14ac:dyDescent="0.35">
      <c r="A39" s="6">
        <v>46034</v>
      </c>
      <c r="B39" s="7" t="s">
        <v>94</v>
      </c>
      <c r="C39" s="7" t="s">
        <v>36</v>
      </c>
      <c r="D39" s="7" t="s">
        <v>37</v>
      </c>
      <c r="E39" s="7" t="s">
        <v>42</v>
      </c>
      <c r="F39" s="8">
        <v>4</v>
      </c>
      <c r="G39" s="9">
        <v>154.44</v>
      </c>
    </row>
    <row r="40" spans="1:7" x14ac:dyDescent="0.35">
      <c r="A40" s="6">
        <v>46034</v>
      </c>
      <c r="B40" s="7" t="s">
        <v>95</v>
      </c>
      <c r="C40" s="7" t="s">
        <v>50</v>
      </c>
      <c r="D40" s="7" t="s">
        <v>51</v>
      </c>
      <c r="E40" s="7" t="s">
        <v>34</v>
      </c>
      <c r="F40" s="8">
        <v>2</v>
      </c>
      <c r="G40" s="9">
        <v>258</v>
      </c>
    </row>
    <row r="41" spans="1:7" x14ac:dyDescent="0.35">
      <c r="A41" s="6">
        <v>46034</v>
      </c>
      <c r="B41" s="7" t="s">
        <v>96</v>
      </c>
      <c r="C41" s="7" t="s">
        <v>32</v>
      </c>
      <c r="D41" s="7" t="s">
        <v>33</v>
      </c>
      <c r="E41" s="7" t="s">
        <v>52</v>
      </c>
      <c r="F41" s="8">
        <v>5</v>
      </c>
      <c r="G41" s="9">
        <v>5875.1</v>
      </c>
    </row>
    <row r="42" spans="1:7" x14ac:dyDescent="0.35">
      <c r="A42" s="6">
        <v>46035</v>
      </c>
      <c r="B42" s="7" t="s">
        <v>97</v>
      </c>
      <c r="C42" s="7" t="s">
        <v>76</v>
      </c>
      <c r="D42" s="7" t="s">
        <v>77</v>
      </c>
      <c r="E42" s="7" t="s">
        <v>34</v>
      </c>
      <c r="F42" s="8">
        <v>5</v>
      </c>
      <c r="G42" s="9">
        <v>3495</v>
      </c>
    </row>
    <row r="43" spans="1:7" x14ac:dyDescent="0.35">
      <c r="A43" s="6">
        <v>46035</v>
      </c>
      <c r="B43" s="7" t="s">
        <v>98</v>
      </c>
      <c r="C43" s="7" t="s">
        <v>55</v>
      </c>
      <c r="D43" s="7" t="s">
        <v>56</v>
      </c>
      <c r="E43" s="7" t="s">
        <v>34</v>
      </c>
      <c r="F43" s="8">
        <v>2</v>
      </c>
      <c r="G43" s="9">
        <v>178</v>
      </c>
    </row>
    <row r="44" spans="1:7" x14ac:dyDescent="0.35">
      <c r="A44" s="6">
        <v>46035</v>
      </c>
      <c r="B44" s="7" t="s">
        <v>99</v>
      </c>
      <c r="C44" s="7" t="s">
        <v>32</v>
      </c>
      <c r="D44" s="7" t="s">
        <v>33</v>
      </c>
      <c r="E44" s="7" t="s">
        <v>52</v>
      </c>
      <c r="F44" s="8">
        <v>4</v>
      </c>
      <c r="G44" s="9">
        <v>4700.08</v>
      </c>
    </row>
    <row r="45" spans="1:7" x14ac:dyDescent="0.35">
      <c r="A45" s="6">
        <v>46035</v>
      </c>
      <c r="B45" s="7" t="s">
        <v>100</v>
      </c>
      <c r="C45" s="7" t="s">
        <v>73</v>
      </c>
      <c r="D45" s="7" t="s">
        <v>74</v>
      </c>
      <c r="E45" s="7" t="s">
        <v>42</v>
      </c>
      <c r="F45" s="8">
        <v>3</v>
      </c>
      <c r="G45" s="9">
        <v>2967.03</v>
      </c>
    </row>
    <row r="46" spans="1:7" x14ac:dyDescent="0.35">
      <c r="A46" s="6">
        <v>46036</v>
      </c>
      <c r="B46" s="7" t="s">
        <v>101</v>
      </c>
      <c r="C46" s="7" t="s">
        <v>83</v>
      </c>
      <c r="D46" s="7" t="s">
        <v>84</v>
      </c>
      <c r="E46" s="7" t="s">
        <v>42</v>
      </c>
      <c r="F46" s="8">
        <v>1</v>
      </c>
      <c r="G46" s="9">
        <v>117.81</v>
      </c>
    </row>
    <row r="47" spans="1:7" x14ac:dyDescent="0.35">
      <c r="A47" s="6">
        <v>46036</v>
      </c>
      <c r="B47" s="7" t="s">
        <v>102</v>
      </c>
      <c r="C47" s="7" t="s">
        <v>50</v>
      </c>
      <c r="D47" s="7" t="s">
        <v>51</v>
      </c>
      <c r="E47" s="7" t="s">
        <v>38</v>
      </c>
      <c r="F47" s="8">
        <v>1</v>
      </c>
      <c r="G47" s="9">
        <v>130.29</v>
      </c>
    </row>
    <row r="48" spans="1:7" x14ac:dyDescent="0.35">
      <c r="A48" s="6">
        <v>46036</v>
      </c>
      <c r="B48" s="7" t="s">
        <v>103</v>
      </c>
      <c r="C48" s="7" t="s">
        <v>76</v>
      </c>
      <c r="D48" s="7" t="s">
        <v>77</v>
      </c>
      <c r="E48" s="7" t="s">
        <v>52</v>
      </c>
      <c r="F48" s="8">
        <v>3</v>
      </c>
      <c r="G48" s="9">
        <v>2055.06</v>
      </c>
    </row>
    <row r="49" spans="1:7" x14ac:dyDescent="0.35">
      <c r="A49" s="6">
        <v>46037</v>
      </c>
      <c r="B49" s="7" t="s">
        <v>104</v>
      </c>
      <c r="C49" s="7" t="s">
        <v>50</v>
      </c>
      <c r="D49" s="7" t="s">
        <v>51</v>
      </c>
      <c r="E49" s="7" t="s">
        <v>34</v>
      </c>
      <c r="F49" s="8">
        <v>1</v>
      </c>
      <c r="G49" s="9">
        <v>129</v>
      </c>
    </row>
    <row r="50" spans="1:7" x14ac:dyDescent="0.35">
      <c r="A50" s="6">
        <v>46037</v>
      </c>
      <c r="B50" s="7" t="s">
        <v>105</v>
      </c>
      <c r="C50" s="7" t="s">
        <v>76</v>
      </c>
      <c r="D50" s="7" t="s">
        <v>77</v>
      </c>
      <c r="E50" s="7" t="s">
        <v>38</v>
      </c>
      <c r="F50" s="8">
        <v>1</v>
      </c>
      <c r="G50" s="9">
        <v>705.99</v>
      </c>
    </row>
    <row r="51" spans="1:7" x14ac:dyDescent="0.35">
      <c r="A51" s="6">
        <v>46037</v>
      </c>
      <c r="B51" s="7" t="s">
        <v>106</v>
      </c>
      <c r="C51" s="7" t="s">
        <v>44</v>
      </c>
      <c r="D51" s="7" t="s">
        <v>45</v>
      </c>
      <c r="E51" s="7" t="s">
        <v>34</v>
      </c>
      <c r="F51" s="8">
        <v>3</v>
      </c>
      <c r="G51" s="9">
        <v>1647</v>
      </c>
    </row>
    <row r="52" spans="1:7" x14ac:dyDescent="0.35">
      <c r="A52" s="6">
        <v>46037</v>
      </c>
      <c r="B52" s="7" t="s">
        <v>107</v>
      </c>
      <c r="C52" s="7" t="s">
        <v>44</v>
      </c>
      <c r="D52" s="7" t="s">
        <v>45</v>
      </c>
      <c r="E52" s="7" t="s">
        <v>52</v>
      </c>
      <c r="F52" s="8">
        <v>5</v>
      </c>
      <c r="G52" s="9">
        <v>2690.1</v>
      </c>
    </row>
    <row r="53" spans="1:7" x14ac:dyDescent="0.35">
      <c r="A53" s="6">
        <v>46038</v>
      </c>
      <c r="B53" s="7" t="s">
        <v>108</v>
      </c>
      <c r="C53" s="7" t="s">
        <v>44</v>
      </c>
      <c r="D53" s="7" t="s">
        <v>45</v>
      </c>
      <c r="E53" s="7" t="s">
        <v>38</v>
      </c>
      <c r="F53" s="8">
        <v>1</v>
      </c>
      <c r="G53" s="9">
        <v>554.49</v>
      </c>
    </row>
    <row r="54" spans="1:7" x14ac:dyDescent="0.35">
      <c r="A54" s="6">
        <v>46038</v>
      </c>
      <c r="B54" s="7" t="s">
        <v>109</v>
      </c>
      <c r="C54" s="7" t="s">
        <v>73</v>
      </c>
      <c r="D54" s="7" t="s">
        <v>74</v>
      </c>
      <c r="E54" s="7" t="s">
        <v>52</v>
      </c>
      <c r="F54" s="8">
        <v>3</v>
      </c>
      <c r="G54" s="9">
        <v>2937.06</v>
      </c>
    </row>
    <row r="55" spans="1:7" x14ac:dyDescent="0.35">
      <c r="A55" s="6">
        <v>46038</v>
      </c>
      <c r="B55" s="7" t="s">
        <v>110</v>
      </c>
      <c r="C55" s="7" t="s">
        <v>79</v>
      </c>
      <c r="D55" s="7" t="s">
        <v>80</v>
      </c>
      <c r="E55" s="7" t="s">
        <v>52</v>
      </c>
      <c r="F55" s="8">
        <v>4</v>
      </c>
      <c r="G55" s="9">
        <v>1760.08</v>
      </c>
    </row>
    <row r="56" spans="1:7" x14ac:dyDescent="0.35">
      <c r="A56" s="6">
        <v>46039</v>
      </c>
      <c r="B56" s="7" t="s">
        <v>111</v>
      </c>
      <c r="C56" s="7" t="s">
        <v>40</v>
      </c>
      <c r="D56" s="7" t="s">
        <v>41</v>
      </c>
      <c r="E56" s="7" t="s">
        <v>42</v>
      </c>
      <c r="F56" s="8">
        <v>2</v>
      </c>
      <c r="G56" s="9">
        <v>2770.02</v>
      </c>
    </row>
    <row r="57" spans="1:7" x14ac:dyDescent="0.35">
      <c r="A57" s="6">
        <v>46039</v>
      </c>
      <c r="B57" s="7" t="s">
        <v>112</v>
      </c>
      <c r="C57" s="7" t="s">
        <v>79</v>
      </c>
      <c r="D57" s="7" t="s">
        <v>80</v>
      </c>
      <c r="E57" s="7" t="s">
        <v>38</v>
      </c>
      <c r="F57" s="8">
        <v>3</v>
      </c>
      <c r="G57" s="9">
        <v>1360.47</v>
      </c>
    </row>
    <row r="58" spans="1:7" x14ac:dyDescent="0.35">
      <c r="A58" s="6">
        <v>46040</v>
      </c>
      <c r="B58" s="7" t="s">
        <v>113</v>
      </c>
      <c r="C58" s="7" t="s">
        <v>40</v>
      </c>
      <c r="D58" s="7" t="s">
        <v>41</v>
      </c>
      <c r="E58" s="7" t="s">
        <v>42</v>
      </c>
      <c r="F58" s="8">
        <v>2</v>
      </c>
      <c r="G58" s="9">
        <v>2770.02</v>
      </c>
    </row>
    <row r="59" spans="1:7" x14ac:dyDescent="0.35">
      <c r="A59" s="6">
        <v>46040</v>
      </c>
      <c r="B59" s="7" t="s">
        <v>114</v>
      </c>
      <c r="C59" s="7" t="s">
        <v>83</v>
      </c>
      <c r="D59" s="7" t="s">
        <v>84</v>
      </c>
      <c r="E59" s="7" t="s">
        <v>34</v>
      </c>
      <c r="F59" s="8">
        <v>1</v>
      </c>
      <c r="G59" s="9">
        <v>119</v>
      </c>
    </row>
    <row r="60" spans="1:7" x14ac:dyDescent="0.35">
      <c r="A60" s="6">
        <v>46040</v>
      </c>
      <c r="B60" s="7" t="s">
        <v>115</v>
      </c>
      <c r="C60" s="7" t="s">
        <v>79</v>
      </c>
      <c r="D60" s="7" t="s">
        <v>80</v>
      </c>
      <c r="E60" s="7" t="s">
        <v>42</v>
      </c>
      <c r="F60" s="8">
        <v>1</v>
      </c>
      <c r="G60" s="9">
        <v>444.51</v>
      </c>
    </row>
    <row r="61" spans="1:7" x14ac:dyDescent="0.35">
      <c r="A61" s="6">
        <v>46041</v>
      </c>
      <c r="B61" s="7" t="s">
        <v>116</v>
      </c>
      <c r="C61" s="7" t="s">
        <v>55</v>
      </c>
      <c r="D61" s="7" t="s">
        <v>56</v>
      </c>
      <c r="E61" s="7" t="s">
        <v>42</v>
      </c>
      <c r="F61" s="8">
        <v>5</v>
      </c>
      <c r="G61" s="9">
        <v>440.55</v>
      </c>
    </row>
    <row r="62" spans="1:7" x14ac:dyDescent="0.35">
      <c r="A62" s="6">
        <v>46041</v>
      </c>
      <c r="B62" s="7" t="s">
        <v>117</v>
      </c>
      <c r="C62" s="7" t="s">
        <v>50</v>
      </c>
      <c r="D62" s="7" t="s">
        <v>51</v>
      </c>
      <c r="E62" s="7" t="s">
        <v>34</v>
      </c>
      <c r="F62" s="8">
        <v>10</v>
      </c>
      <c r="G62" s="9">
        <v>1290</v>
      </c>
    </row>
    <row r="63" spans="1:7" x14ac:dyDescent="0.35">
      <c r="A63" s="6">
        <v>46041</v>
      </c>
      <c r="B63" s="7" t="s">
        <v>118</v>
      </c>
      <c r="C63" s="7" t="s">
        <v>36</v>
      </c>
      <c r="D63" s="7" t="s">
        <v>37</v>
      </c>
      <c r="E63" s="7" t="s">
        <v>52</v>
      </c>
      <c r="F63" s="8">
        <v>6</v>
      </c>
      <c r="G63" s="9">
        <v>229.32</v>
      </c>
    </row>
    <row r="64" spans="1:7" x14ac:dyDescent="0.35">
      <c r="A64" s="6">
        <v>46042</v>
      </c>
      <c r="B64" s="7" t="s">
        <v>119</v>
      </c>
      <c r="C64" s="7" t="s">
        <v>73</v>
      </c>
      <c r="D64" s="7" t="s">
        <v>74</v>
      </c>
      <c r="E64" s="7" t="s">
        <v>42</v>
      </c>
      <c r="F64" s="8">
        <v>1</v>
      </c>
      <c r="G64" s="9">
        <v>989.01</v>
      </c>
    </row>
    <row r="65" spans="1:7" x14ac:dyDescent="0.35">
      <c r="A65" s="6">
        <v>46042</v>
      </c>
      <c r="B65" s="7" t="s">
        <v>120</v>
      </c>
      <c r="C65" s="7" t="s">
        <v>60</v>
      </c>
      <c r="D65" s="7" t="s">
        <v>61</v>
      </c>
      <c r="E65" s="7" t="s">
        <v>34</v>
      </c>
      <c r="F65" s="8">
        <v>2</v>
      </c>
      <c r="G65" s="9">
        <v>658</v>
      </c>
    </row>
    <row r="66" spans="1:7" x14ac:dyDescent="0.35">
      <c r="A66" s="6">
        <v>46042</v>
      </c>
      <c r="B66" s="7" t="s">
        <v>121</v>
      </c>
      <c r="C66" s="7" t="s">
        <v>55</v>
      </c>
      <c r="D66" s="7" t="s">
        <v>56</v>
      </c>
      <c r="E66" s="7" t="s">
        <v>34</v>
      </c>
      <c r="F66" s="8">
        <v>4</v>
      </c>
      <c r="G66" s="9">
        <v>356</v>
      </c>
    </row>
    <row r="67" spans="1:7" x14ac:dyDescent="0.35">
      <c r="A67" s="6">
        <v>46042</v>
      </c>
      <c r="B67" s="7" t="s">
        <v>122</v>
      </c>
      <c r="C67" s="7" t="s">
        <v>79</v>
      </c>
      <c r="D67" s="7" t="s">
        <v>80</v>
      </c>
      <c r="E67" s="7" t="s">
        <v>42</v>
      </c>
      <c r="F67" s="8">
        <v>8</v>
      </c>
      <c r="G67" s="9">
        <v>3556.08</v>
      </c>
    </row>
    <row r="68" spans="1:7" x14ac:dyDescent="0.35">
      <c r="A68" s="6">
        <v>46043</v>
      </c>
      <c r="B68" s="7" t="s">
        <v>123</v>
      </c>
      <c r="C68" s="7" t="s">
        <v>50</v>
      </c>
      <c r="D68" s="7" t="s">
        <v>51</v>
      </c>
      <c r="E68" s="7" t="s">
        <v>38</v>
      </c>
      <c r="F68" s="8">
        <v>1</v>
      </c>
      <c r="G68" s="9">
        <v>130.29</v>
      </c>
    </row>
    <row r="69" spans="1:7" x14ac:dyDescent="0.35">
      <c r="A69" s="6">
        <v>46043</v>
      </c>
      <c r="B69" s="7" t="s">
        <v>124</v>
      </c>
      <c r="C69" s="7" t="s">
        <v>44</v>
      </c>
      <c r="D69" s="7" t="s">
        <v>45</v>
      </c>
      <c r="E69" s="7" t="s">
        <v>52</v>
      </c>
      <c r="F69" s="8">
        <v>3</v>
      </c>
      <c r="G69" s="9">
        <v>1614.06</v>
      </c>
    </row>
    <row r="70" spans="1:7" x14ac:dyDescent="0.35">
      <c r="A70" s="6">
        <v>46043</v>
      </c>
      <c r="B70" s="7" t="s">
        <v>125</v>
      </c>
      <c r="C70" s="7" t="s">
        <v>50</v>
      </c>
      <c r="D70" s="7" t="s">
        <v>51</v>
      </c>
      <c r="E70" s="7" t="s">
        <v>38</v>
      </c>
      <c r="F70" s="8">
        <v>1</v>
      </c>
      <c r="G70" s="9">
        <v>130.29</v>
      </c>
    </row>
    <row r="71" spans="1:7" x14ac:dyDescent="0.35">
      <c r="A71" s="6">
        <v>46043</v>
      </c>
      <c r="B71" s="7" t="s">
        <v>126</v>
      </c>
      <c r="C71" s="7" t="s">
        <v>50</v>
      </c>
      <c r="D71" s="7" t="s">
        <v>51</v>
      </c>
      <c r="E71" s="7" t="s">
        <v>42</v>
      </c>
      <c r="F71" s="8">
        <v>5</v>
      </c>
      <c r="G71" s="9">
        <v>638.54999999999995</v>
      </c>
    </row>
    <row r="72" spans="1:7" x14ac:dyDescent="0.35">
      <c r="A72" s="6">
        <v>46044</v>
      </c>
      <c r="B72" s="7" t="s">
        <v>127</v>
      </c>
      <c r="C72" s="7" t="s">
        <v>55</v>
      </c>
      <c r="D72" s="7" t="s">
        <v>56</v>
      </c>
      <c r="E72" s="7" t="s">
        <v>34</v>
      </c>
      <c r="F72" s="8">
        <v>1</v>
      </c>
      <c r="G72" s="9">
        <v>89</v>
      </c>
    </row>
    <row r="73" spans="1:7" x14ac:dyDescent="0.35">
      <c r="A73" s="6">
        <v>46044</v>
      </c>
      <c r="B73" s="7" t="s">
        <v>128</v>
      </c>
      <c r="C73" s="7" t="s">
        <v>47</v>
      </c>
      <c r="D73" s="7" t="s">
        <v>48</v>
      </c>
      <c r="E73" s="7" t="s">
        <v>38</v>
      </c>
      <c r="F73" s="8">
        <v>1</v>
      </c>
      <c r="G73" s="9">
        <v>59.59</v>
      </c>
    </row>
    <row r="74" spans="1:7" x14ac:dyDescent="0.35">
      <c r="A74" s="6">
        <v>46044</v>
      </c>
      <c r="B74" s="7" t="s">
        <v>129</v>
      </c>
      <c r="C74" s="7" t="s">
        <v>40</v>
      </c>
      <c r="D74" s="7" t="s">
        <v>41</v>
      </c>
      <c r="E74" s="7" t="s">
        <v>52</v>
      </c>
      <c r="F74" s="8">
        <v>1</v>
      </c>
      <c r="G74" s="9">
        <v>1371.02</v>
      </c>
    </row>
    <row r="75" spans="1:7" x14ac:dyDescent="0.35">
      <c r="A75" s="6">
        <v>46045</v>
      </c>
      <c r="B75" s="7" t="s">
        <v>130</v>
      </c>
      <c r="C75" s="7" t="s">
        <v>47</v>
      </c>
      <c r="D75" s="7" t="s">
        <v>48</v>
      </c>
      <c r="E75" s="7" t="s">
        <v>42</v>
      </c>
      <c r="F75" s="8">
        <v>3</v>
      </c>
      <c r="G75" s="9">
        <v>175.23</v>
      </c>
    </row>
    <row r="76" spans="1:7" x14ac:dyDescent="0.35">
      <c r="A76" s="6">
        <v>46045</v>
      </c>
      <c r="B76" s="7" t="s">
        <v>131</v>
      </c>
      <c r="C76" s="7" t="s">
        <v>50</v>
      </c>
      <c r="D76" s="7" t="s">
        <v>51</v>
      </c>
      <c r="E76" s="7" t="s">
        <v>52</v>
      </c>
      <c r="F76" s="8">
        <v>1</v>
      </c>
      <c r="G76" s="9">
        <v>126.42</v>
      </c>
    </row>
    <row r="77" spans="1:7" x14ac:dyDescent="0.35">
      <c r="A77" s="6">
        <v>46045</v>
      </c>
      <c r="B77" s="7" t="s">
        <v>132</v>
      </c>
      <c r="C77" s="7" t="s">
        <v>36</v>
      </c>
      <c r="D77" s="7" t="s">
        <v>37</v>
      </c>
      <c r="E77" s="7" t="s">
        <v>34</v>
      </c>
      <c r="F77" s="8">
        <v>2</v>
      </c>
      <c r="G77" s="9">
        <v>78</v>
      </c>
    </row>
    <row r="78" spans="1:7" x14ac:dyDescent="0.35">
      <c r="A78" s="6">
        <v>46045</v>
      </c>
      <c r="B78" s="7" t="s">
        <v>133</v>
      </c>
      <c r="C78" s="7" t="s">
        <v>47</v>
      </c>
      <c r="D78" s="7" t="s">
        <v>48</v>
      </c>
      <c r="E78" s="7" t="s">
        <v>42</v>
      </c>
      <c r="F78" s="8">
        <v>2</v>
      </c>
      <c r="G78" s="9">
        <v>116.82</v>
      </c>
    </row>
    <row r="79" spans="1:7" x14ac:dyDescent="0.35">
      <c r="A79" s="6">
        <v>46046</v>
      </c>
      <c r="B79" s="7" t="s">
        <v>134</v>
      </c>
      <c r="C79" s="7" t="s">
        <v>32</v>
      </c>
      <c r="D79" s="7" t="s">
        <v>33</v>
      </c>
      <c r="E79" s="7" t="s">
        <v>42</v>
      </c>
      <c r="F79" s="8">
        <v>10</v>
      </c>
      <c r="G79" s="9">
        <v>11870.1</v>
      </c>
    </row>
    <row r="80" spans="1:7" x14ac:dyDescent="0.35">
      <c r="A80" s="6">
        <v>46046</v>
      </c>
      <c r="B80" s="7" t="s">
        <v>135</v>
      </c>
      <c r="C80" s="7" t="s">
        <v>55</v>
      </c>
      <c r="D80" s="7" t="s">
        <v>56</v>
      </c>
      <c r="E80" s="7" t="s">
        <v>34</v>
      </c>
      <c r="F80" s="8">
        <v>1</v>
      </c>
      <c r="G80" s="9">
        <v>89</v>
      </c>
    </row>
    <row r="81" spans="1:7" x14ac:dyDescent="0.35">
      <c r="A81" s="6">
        <v>46046</v>
      </c>
      <c r="B81" s="7" t="s">
        <v>136</v>
      </c>
      <c r="C81" s="7" t="s">
        <v>44</v>
      </c>
      <c r="D81" s="7" t="s">
        <v>45</v>
      </c>
      <c r="E81" s="7" t="s">
        <v>52</v>
      </c>
      <c r="F81" s="8">
        <v>5</v>
      </c>
      <c r="G81" s="9">
        <v>2690.1</v>
      </c>
    </row>
    <row r="82" spans="1:7" x14ac:dyDescent="0.35">
      <c r="A82" s="6">
        <v>46047</v>
      </c>
      <c r="B82" s="7" t="s">
        <v>137</v>
      </c>
      <c r="C82" s="7" t="s">
        <v>60</v>
      </c>
      <c r="D82" s="7" t="s">
        <v>61</v>
      </c>
      <c r="E82" s="7" t="s">
        <v>34</v>
      </c>
      <c r="F82" s="8">
        <v>5</v>
      </c>
      <c r="G82" s="9">
        <v>1645</v>
      </c>
    </row>
    <row r="83" spans="1:7" x14ac:dyDescent="0.35">
      <c r="A83" s="6">
        <v>46047</v>
      </c>
      <c r="B83" s="7" t="s">
        <v>138</v>
      </c>
      <c r="C83" s="7" t="s">
        <v>47</v>
      </c>
      <c r="D83" s="7" t="s">
        <v>48</v>
      </c>
      <c r="E83" s="7" t="s">
        <v>38</v>
      </c>
      <c r="F83" s="8">
        <v>10</v>
      </c>
      <c r="G83" s="9">
        <v>595.9</v>
      </c>
    </row>
    <row r="84" spans="1:7" x14ac:dyDescent="0.35">
      <c r="A84" s="6">
        <v>46047</v>
      </c>
      <c r="B84" s="7" t="s">
        <v>139</v>
      </c>
      <c r="C84" s="7" t="s">
        <v>47</v>
      </c>
      <c r="D84" s="7" t="s">
        <v>48</v>
      </c>
      <c r="E84" s="7" t="s">
        <v>34</v>
      </c>
      <c r="F84" s="8">
        <v>4</v>
      </c>
      <c r="G84" s="9">
        <v>236</v>
      </c>
    </row>
    <row r="85" spans="1:7" x14ac:dyDescent="0.35">
      <c r="A85" s="6">
        <v>46048</v>
      </c>
      <c r="B85" s="7" t="s">
        <v>140</v>
      </c>
      <c r="C85" s="7" t="s">
        <v>47</v>
      </c>
      <c r="D85" s="7" t="s">
        <v>48</v>
      </c>
      <c r="E85" s="7" t="s">
        <v>52</v>
      </c>
      <c r="F85" s="8">
        <v>1</v>
      </c>
      <c r="G85" s="9">
        <v>57.82</v>
      </c>
    </row>
    <row r="86" spans="1:7" x14ac:dyDescent="0.35">
      <c r="A86" s="6">
        <v>46048</v>
      </c>
      <c r="B86" s="7" t="s">
        <v>141</v>
      </c>
      <c r="C86" s="7" t="s">
        <v>40</v>
      </c>
      <c r="D86" s="7" t="s">
        <v>41</v>
      </c>
      <c r="E86" s="7" t="s">
        <v>34</v>
      </c>
      <c r="F86" s="8">
        <v>3</v>
      </c>
      <c r="G86" s="9">
        <v>4197</v>
      </c>
    </row>
    <row r="87" spans="1:7" x14ac:dyDescent="0.35">
      <c r="A87" s="6">
        <v>46048</v>
      </c>
      <c r="B87" s="7" t="s">
        <v>142</v>
      </c>
      <c r="C87" s="7" t="s">
        <v>44</v>
      </c>
      <c r="D87" s="7" t="s">
        <v>45</v>
      </c>
      <c r="E87" s="7" t="s">
        <v>38</v>
      </c>
      <c r="F87" s="8">
        <v>4</v>
      </c>
      <c r="G87" s="9">
        <v>2217.96</v>
      </c>
    </row>
    <row r="88" spans="1:7" x14ac:dyDescent="0.35">
      <c r="A88" s="6">
        <v>46049</v>
      </c>
      <c r="B88" s="7" t="s">
        <v>143</v>
      </c>
      <c r="C88" s="7" t="s">
        <v>47</v>
      </c>
      <c r="D88" s="7" t="s">
        <v>48</v>
      </c>
      <c r="E88" s="7" t="s">
        <v>34</v>
      </c>
      <c r="F88" s="8">
        <v>2</v>
      </c>
      <c r="G88" s="9">
        <v>118</v>
      </c>
    </row>
    <row r="89" spans="1:7" x14ac:dyDescent="0.35">
      <c r="A89" s="6">
        <v>46049</v>
      </c>
      <c r="B89" s="7" t="s">
        <v>144</v>
      </c>
      <c r="C89" s="7" t="s">
        <v>83</v>
      </c>
      <c r="D89" s="7" t="s">
        <v>84</v>
      </c>
      <c r="E89" s="7" t="s">
        <v>52</v>
      </c>
      <c r="F89" s="8">
        <v>1</v>
      </c>
      <c r="G89" s="9">
        <v>116.62</v>
      </c>
    </row>
    <row r="90" spans="1:7" x14ac:dyDescent="0.35">
      <c r="A90" s="6">
        <v>46049</v>
      </c>
      <c r="B90" s="7" t="s">
        <v>145</v>
      </c>
      <c r="C90" s="7" t="s">
        <v>60</v>
      </c>
      <c r="D90" s="7" t="s">
        <v>61</v>
      </c>
      <c r="E90" s="7" t="s">
        <v>34</v>
      </c>
      <c r="F90" s="8">
        <v>1</v>
      </c>
      <c r="G90" s="9">
        <v>329</v>
      </c>
    </row>
    <row r="91" spans="1:7" x14ac:dyDescent="0.35">
      <c r="A91" s="6">
        <v>46050</v>
      </c>
      <c r="B91" s="7" t="s">
        <v>146</v>
      </c>
      <c r="C91" s="7" t="s">
        <v>47</v>
      </c>
      <c r="D91" s="7" t="s">
        <v>48</v>
      </c>
      <c r="E91" s="7" t="s">
        <v>34</v>
      </c>
      <c r="F91" s="8">
        <v>4</v>
      </c>
      <c r="G91" s="9">
        <v>236</v>
      </c>
    </row>
    <row r="92" spans="1:7" x14ac:dyDescent="0.35">
      <c r="A92" s="6">
        <v>46050</v>
      </c>
      <c r="B92" s="7" t="s">
        <v>147</v>
      </c>
      <c r="C92" s="7" t="s">
        <v>50</v>
      </c>
      <c r="D92" s="7" t="s">
        <v>51</v>
      </c>
      <c r="E92" s="7" t="s">
        <v>42</v>
      </c>
      <c r="F92" s="8">
        <v>1</v>
      </c>
      <c r="G92" s="9">
        <v>127.71</v>
      </c>
    </row>
    <row r="93" spans="1:7" x14ac:dyDescent="0.35">
      <c r="A93" s="6">
        <v>46050</v>
      </c>
      <c r="B93" s="7" t="s">
        <v>148</v>
      </c>
      <c r="C93" s="7" t="s">
        <v>32</v>
      </c>
      <c r="D93" s="7" t="s">
        <v>33</v>
      </c>
      <c r="E93" s="7" t="s">
        <v>52</v>
      </c>
      <c r="F93" s="8">
        <v>6</v>
      </c>
      <c r="G93" s="9">
        <v>7050.12</v>
      </c>
    </row>
    <row r="94" spans="1:7" x14ac:dyDescent="0.35">
      <c r="A94" s="6">
        <v>46050</v>
      </c>
      <c r="B94" s="7" t="s">
        <v>149</v>
      </c>
      <c r="C94" s="7" t="s">
        <v>50</v>
      </c>
      <c r="D94" s="7" t="s">
        <v>51</v>
      </c>
      <c r="E94" s="7" t="s">
        <v>52</v>
      </c>
      <c r="F94" s="8">
        <v>3</v>
      </c>
      <c r="G94" s="9">
        <v>379.26</v>
      </c>
    </row>
    <row r="95" spans="1:7" x14ac:dyDescent="0.35">
      <c r="A95" s="6">
        <v>46051</v>
      </c>
      <c r="B95" s="7" t="s">
        <v>150</v>
      </c>
      <c r="C95" s="7" t="s">
        <v>73</v>
      </c>
      <c r="D95" s="7" t="s">
        <v>74</v>
      </c>
      <c r="E95" s="7" t="s">
        <v>42</v>
      </c>
      <c r="F95" s="8">
        <v>5</v>
      </c>
      <c r="G95" s="9">
        <v>4945.05</v>
      </c>
    </row>
    <row r="96" spans="1:7" x14ac:dyDescent="0.35">
      <c r="A96" s="6">
        <v>46051</v>
      </c>
      <c r="B96" s="7" t="s">
        <v>151</v>
      </c>
      <c r="C96" s="7" t="s">
        <v>36</v>
      </c>
      <c r="D96" s="7" t="s">
        <v>37</v>
      </c>
      <c r="E96" s="7" t="s">
        <v>52</v>
      </c>
      <c r="F96" s="8">
        <v>5</v>
      </c>
      <c r="G96" s="9">
        <v>191.1</v>
      </c>
    </row>
    <row r="97" spans="1:7" x14ac:dyDescent="0.35">
      <c r="A97" s="6">
        <v>46051</v>
      </c>
      <c r="B97" s="7" t="s">
        <v>152</v>
      </c>
      <c r="C97" s="7" t="s">
        <v>73</v>
      </c>
      <c r="D97" s="7" t="s">
        <v>74</v>
      </c>
      <c r="E97" s="7" t="s">
        <v>34</v>
      </c>
      <c r="F97" s="8">
        <v>1</v>
      </c>
      <c r="G97" s="9">
        <v>999</v>
      </c>
    </row>
    <row r="98" spans="1:7" x14ac:dyDescent="0.35">
      <c r="A98" s="6">
        <v>46052</v>
      </c>
      <c r="B98" s="7" t="s">
        <v>153</v>
      </c>
      <c r="C98" s="7" t="s">
        <v>83</v>
      </c>
      <c r="D98" s="7" t="s">
        <v>84</v>
      </c>
      <c r="E98" s="7" t="s">
        <v>42</v>
      </c>
      <c r="F98" s="8">
        <v>3</v>
      </c>
      <c r="G98" s="9">
        <v>353.43</v>
      </c>
    </row>
    <row r="99" spans="1:7" x14ac:dyDescent="0.35">
      <c r="A99" s="6">
        <v>46052</v>
      </c>
      <c r="B99" s="7" t="s">
        <v>154</v>
      </c>
      <c r="C99" s="7" t="s">
        <v>73</v>
      </c>
      <c r="D99" s="7" t="s">
        <v>74</v>
      </c>
      <c r="E99" s="7" t="s">
        <v>52</v>
      </c>
      <c r="F99" s="8">
        <v>5</v>
      </c>
      <c r="G99" s="9">
        <v>4895.1000000000004</v>
      </c>
    </row>
    <row r="100" spans="1:7" x14ac:dyDescent="0.35">
      <c r="A100" s="6">
        <v>46052</v>
      </c>
      <c r="B100" s="7" t="s">
        <v>155</v>
      </c>
      <c r="C100" s="7" t="s">
        <v>55</v>
      </c>
      <c r="D100" s="7" t="s">
        <v>56</v>
      </c>
      <c r="E100" s="7" t="s">
        <v>52</v>
      </c>
      <c r="F100" s="8">
        <v>5</v>
      </c>
      <c r="G100" s="9">
        <v>436.1</v>
      </c>
    </row>
    <row r="101" spans="1:7" x14ac:dyDescent="0.35">
      <c r="A101" s="6">
        <v>46052</v>
      </c>
      <c r="B101" s="7" t="s">
        <v>156</v>
      </c>
      <c r="C101" s="7" t="s">
        <v>32</v>
      </c>
      <c r="D101" s="7" t="s">
        <v>33</v>
      </c>
      <c r="E101" s="7" t="s">
        <v>38</v>
      </c>
      <c r="F101" s="8">
        <v>2</v>
      </c>
      <c r="G101" s="9">
        <v>2421.98</v>
      </c>
    </row>
    <row r="102" spans="1:7" x14ac:dyDescent="0.35">
      <c r="A102" s="6">
        <v>46053</v>
      </c>
      <c r="B102" s="7" t="s">
        <v>157</v>
      </c>
      <c r="C102" s="7" t="s">
        <v>36</v>
      </c>
      <c r="D102" s="7" t="s">
        <v>37</v>
      </c>
      <c r="E102" s="7" t="s">
        <v>52</v>
      </c>
      <c r="F102" s="8">
        <v>4</v>
      </c>
      <c r="G102" s="9">
        <v>152.88</v>
      </c>
    </row>
    <row r="103" spans="1:7" x14ac:dyDescent="0.35">
      <c r="A103" s="6">
        <v>46053</v>
      </c>
      <c r="B103" s="7" t="s">
        <v>158</v>
      </c>
      <c r="C103" s="7" t="s">
        <v>44</v>
      </c>
      <c r="D103" s="7" t="s">
        <v>45</v>
      </c>
      <c r="E103" s="7" t="s">
        <v>52</v>
      </c>
      <c r="F103" s="8">
        <v>1</v>
      </c>
      <c r="G103" s="9">
        <v>538.02</v>
      </c>
    </row>
    <row r="104" spans="1:7" x14ac:dyDescent="0.35">
      <c r="A104" s="6">
        <v>46053</v>
      </c>
      <c r="B104" s="7" t="s">
        <v>159</v>
      </c>
      <c r="C104" s="7" t="s">
        <v>83</v>
      </c>
      <c r="D104" s="7" t="s">
        <v>84</v>
      </c>
      <c r="E104" s="7" t="s">
        <v>52</v>
      </c>
      <c r="F104" s="8">
        <v>1</v>
      </c>
      <c r="G104" s="9">
        <v>116.62</v>
      </c>
    </row>
    <row r="105" spans="1:7" x14ac:dyDescent="0.35">
      <c r="A105" s="6">
        <v>46054</v>
      </c>
      <c r="B105" s="7" t="s">
        <v>160</v>
      </c>
      <c r="C105" s="7" t="s">
        <v>79</v>
      </c>
      <c r="D105" s="7" t="s">
        <v>80</v>
      </c>
      <c r="E105" s="7" t="s">
        <v>42</v>
      </c>
      <c r="F105" s="8">
        <v>4</v>
      </c>
      <c r="G105" s="9">
        <v>1778.04</v>
      </c>
    </row>
    <row r="106" spans="1:7" x14ac:dyDescent="0.35">
      <c r="A106" s="6">
        <v>46054</v>
      </c>
      <c r="B106" s="7" t="s">
        <v>161</v>
      </c>
      <c r="C106" s="7" t="s">
        <v>44</v>
      </c>
      <c r="D106" s="7" t="s">
        <v>45</v>
      </c>
      <c r="E106" s="7" t="s">
        <v>34</v>
      </c>
      <c r="F106" s="8">
        <v>1</v>
      </c>
      <c r="G106" s="9">
        <v>549</v>
      </c>
    </row>
    <row r="107" spans="1:7" x14ac:dyDescent="0.35">
      <c r="A107" s="6">
        <v>46054</v>
      </c>
      <c r="B107" s="7" t="s">
        <v>162</v>
      </c>
      <c r="C107" s="7" t="s">
        <v>76</v>
      </c>
      <c r="D107" s="7" t="s">
        <v>77</v>
      </c>
      <c r="E107" s="7" t="s">
        <v>52</v>
      </c>
      <c r="F107" s="8">
        <v>8</v>
      </c>
      <c r="G107" s="9">
        <v>5480.16</v>
      </c>
    </row>
    <row r="108" spans="1:7" x14ac:dyDescent="0.35">
      <c r="A108" s="6">
        <v>46055</v>
      </c>
      <c r="B108" s="7" t="s">
        <v>163</v>
      </c>
      <c r="C108" s="7" t="s">
        <v>47</v>
      </c>
      <c r="D108" s="7" t="s">
        <v>48</v>
      </c>
      <c r="E108" s="7" t="s">
        <v>42</v>
      </c>
      <c r="F108" s="8">
        <v>10</v>
      </c>
      <c r="G108" s="9">
        <v>584.1</v>
      </c>
    </row>
    <row r="109" spans="1:7" x14ac:dyDescent="0.35">
      <c r="A109" s="6">
        <v>46055</v>
      </c>
      <c r="B109" s="7" t="s">
        <v>164</v>
      </c>
      <c r="C109" s="7" t="s">
        <v>50</v>
      </c>
      <c r="D109" s="7" t="s">
        <v>51</v>
      </c>
      <c r="E109" s="7" t="s">
        <v>52</v>
      </c>
      <c r="F109" s="8">
        <v>1</v>
      </c>
      <c r="G109" s="9">
        <v>126.42</v>
      </c>
    </row>
    <row r="110" spans="1:7" x14ac:dyDescent="0.35">
      <c r="A110" s="6">
        <v>46055</v>
      </c>
      <c r="B110" s="7" t="s">
        <v>165</v>
      </c>
      <c r="C110" s="7" t="s">
        <v>55</v>
      </c>
      <c r="D110" s="7" t="s">
        <v>56</v>
      </c>
      <c r="E110" s="7" t="s">
        <v>34</v>
      </c>
      <c r="F110" s="8">
        <v>8</v>
      </c>
      <c r="G110" s="9">
        <v>712</v>
      </c>
    </row>
    <row r="111" spans="1:7" x14ac:dyDescent="0.35">
      <c r="A111" s="6">
        <v>46056</v>
      </c>
      <c r="B111" s="7" t="s">
        <v>166</v>
      </c>
      <c r="C111" s="7" t="s">
        <v>40</v>
      </c>
      <c r="D111" s="7" t="s">
        <v>41</v>
      </c>
      <c r="E111" s="7" t="s">
        <v>42</v>
      </c>
      <c r="F111" s="8">
        <v>4</v>
      </c>
      <c r="G111" s="9">
        <v>5540.04</v>
      </c>
    </row>
    <row r="112" spans="1:7" x14ac:dyDescent="0.35">
      <c r="A112" s="6">
        <v>46056</v>
      </c>
      <c r="B112" s="7" t="s">
        <v>167</v>
      </c>
      <c r="C112" s="7" t="s">
        <v>76</v>
      </c>
      <c r="D112" s="7" t="s">
        <v>77</v>
      </c>
      <c r="E112" s="7" t="s">
        <v>38</v>
      </c>
      <c r="F112" s="8">
        <v>2</v>
      </c>
      <c r="G112" s="9">
        <v>1411.98</v>
      </c>
    </row>
    <row r="113" spans="1:7" x14ac:dyDescent="0.35">
      <c r="A113" s="6">
        <v>46056</v>
      </c>
      <c r="B113" s="7" t="s">
        <v>168</v>
      </c>
      <c r="C113" s="7" t="s">
        <v>60</v>
      </c>
      <c r="D113" s="7" t="s">
        <v>61</v>
      </c>
      <c r="E113" s="7" t="s">
        <v>38</v>
      </c>
      <c r="F113" s="8">
        <v>1</v>
      </c>
      <c r="G113" s="9">
        <v>332.29</v>
      </c>
    </row>
    <row r="114" spans="1:7" x14ac:dyDescent="0.35">
      <c r="A114" s="6">
        <v>46057</v>
      </c>
      <c r="B114" s="7" t="s">
        <v>169</v>
      </c>
      <c r="C114" s="7" t="s">
        <v>32</v>
      </c>
      <c r="D114" s="7" t="s">
        <v>33</v>
      </c>
      <c r="E114" s="7" t="s">
        <v>52</v>
      </c>
      <c r="F114" s="8">
        <v>3</v>
      </c>
      <c r="G114" s="9">
        <v>3525.06</v>
      </c>
    </row>
    <row r="115" spans="1:7" x14ac:dyDescent="0.35">
      <c r="A115" s="6">
        <v>46057</v>
      </c>
      <c r="B115" s="7" t="s">
        <v>170</v>
      </c>
      <c r="C115" s="7" t="s">
        <v>36</v>
      </c>
      <c r="D115" s="7" t="s">
        <v>37</v>
      </c>
      <c r="E115" s="7" t="s">
        <v>38</v>
      </c>
      <c r="F115" s="8">
        <v>3</v>
      </c>
      <c r="G115" s="9">
        <v>118.17</v>
      </c>
    </row>
    <row r="116" spans="1:7" x14ac:dyDescent="0.35">
      <c r="A116" s="6">
        <v>46057</v>
      </c>
      <c r="B116" s="7" t="s">
        <v>171</v>
      </c>
      <c r="C116" s="7" t="s">
        <v>60</v>
      </c>
      <c r="D116" s="7" t="s">
        <v>61</v>
      </c>
      <c r="E116" s="7" t="s">
        <v>34</v>
      </c>
      <c r="F116" s="8">
        <v>3</v>
      </c>
      <c r="G116" s="9">
        <v>987</v>
      </c>
    </row>
    <row r="117" spans="1:7" x14ac:dyDescent="0.35">
      <c r="A117" s="6">
        <v>46057</v>
      </c>
      <c r="B117" s="7" t="s">
        <v>172</v>
      </c>
      <c r="C117" s="7" t="s">
        <v>76</v>
      </c>
      <c r="D117" s="7" t="s">
        <v>77</v>
      </c>
      <c r="E117" s="7" t="s">
        <v>42</v>
      </c>
      <c r="F117" s="8">
        <v>5</v>
      </c>
      <c r="G117" s="9">
        <v>3460.05</v>
      </c>
    </row>
    <row r="118" spans="1:7" x14ac:dyDescent="0.35">
      <c r="A118" s="6">
        <v>46058</v>
      </c>
      <c r="B118" s="7" t="s">
        <v>173</v>
      </c>
      <c r="C118" s="7" t="s">
        <v>44</v>
      </c>
      <c r="D118" s="7" t="s">
        <v>45</v>
      </c>
      <c r="E118" s="7" t="s">
        <v>42</v>
      </c>
      <c r="F118" s="8">
        <v>2</v>
      </c>
      <c r="G118" s="9">
        <v>1087.02</v>
      </c>
    </row>
    <row r="119" spans="1:7" x14ac:dyDescent="0.35">
      <c r="A119" s="6">
        <v>46058</v>
      </c>
      <c r="B119" s="7" t="s">
        <v>174</v>
      </c>
      <c r="C119" s="7" t="s">
        <v>60</v>
      </c>
      <c r="D119" s="7" t="s">
        <v>61</v>
      </c>
      <c r="E119" s="7" t="s">
        <v>42</v>
      </c>
      <c r="F119" s="8">
        <v>1</v>
      </c>
      <c r="G119" s="9">
        <v>325.70999999999998</v>
      </c>
    </row>
    <row r="120" spans="1:7" x14ac:dyDescent="0.35">
      <c r="A120" s="6">
        <v>46058</v>
      </c>
      <c r="B120" s="7" t="s">
        <v>175</v>
      </c>
      <c r="C120" s="7" t="s">
        <v>60</v>
      </c>
      <c r="D120" s="7" t="s">
        <v>61</v>
      </c>
      <c r="E120" s="7" t="s">
        <v>52</v>
      </c>
      <c r="F120" s="8">
        <v>3</v>
      </c>
      <c r="G120" s="9">
        <v>967.26</v>
      </c>
    </row>
    <row r="121" spans="1:7" x14ac:dyDescent="0.35">
      <c r="A121" s="6">
        <v>46058</v>
      </c>
      <c r="B121" s="7" t="s">
        <v>176</v>
      </c>
      <c r="C121" s="7" t="s">
        <v>83</v>
      </c>
      <c r="D121" s="7" t="s">
        <v>84</v>
      </c>
      <c r="E121" s="7" t="s">
        <v>38</v>
      </c>
      <c r="F121" s="8">
        <v>2</v>
      </c>
      <c r="G121" s="9">
        <v>240.38</v>
      </c>
    </row>
    <row r="122" spans="1:7" x14ac:dyDescent="0.35">
      <c r="A122" s="6">
        <v>46059</v>
      </c>
      <c r="B122" s="7" t="s">
        <v>177</v>
      </c>
      <c r="C122" s="7" t="s">
        <v>32</v>
      </c>
      <c r="D122" s="7" t="s">
        <v>33</v>
      </c>
      <c r="E122" s="7" t="s">
        <v>34</v>
      </c>
      <c r="F122" s="8">
        <v>2</v>
      </c>
      <c r="G122" s="9">
        <v>2398</v>
      </c>
    </row>
    <row r="123" spans="1:7" x14ac:dyDescent="0.35">
      <c r="A123" s="6">
        <v>46059</v>
      </c>
      <c r="B123" s="7" t="s">
        <v>178</v>
      </c>
      <c r="C123" s="7" t="s">
        <v>50</v>
      </c>
      <c r="D123" s="7" t="s">
        <v>51</v>
      </c>
      <c r="E123" s="13" t="s">
        <v>38</v>
      </c>
      <c r="F123" s="8">
        <v>2</v>
      </c>
      <c r="G123" s="9">
        <v>260.58</v>
      </c>
    </row>
    <row r="124" spans="1:7" x14ac:dyDescent="0.35">
      <c r="A124" s="6">
        <v>46059</v>
      </c>
      <c r="B124" s="7" t="s">
        <v>179</v>
      </c>
      <c r="C124" s="7" t="s">
        <v>79</v>
      </c>
      <c r="D124" s="7" t="s">
        <v>80</v>
      </c>
      <c r="E124" s="7" t="s">
        <v>34</v>
      </c>
      <c r="F124" s="8">
        <v>2</v>
      </c>
      <c r="G124" s="9">
        <v>898</v>
      </c>
    </row>
    <row r="125" spans="1:7" x14ac:dyDescent="0.35">
      <c r="A125" s="6">
        <v>46059</v>
      </c>
      <c r="B125" s="7" t="s">
        <v>180</v>
      </c>
      <c r="C125" s="7" t="s">
        <v>83</v>
      </c>
      <c r="D125" s="7" t="s">
        <v>84</v>
      </c>
      <c r="E125" s="7" t="s">
        <v>52</v>
      </c>
      <c r="F125" s="8">
        <v>1</v>
      </c>
      <c r="G125" s="9">
        <v>116.62</v>
      </c>
    </row>
    <row r="126" spans="1:7" x14ac:dyDescent="0.35">
      <c r="A126" s="6">
        <v>46060</v>
      </c>
      <c r="B126" s="7" t="s">
        <v>181</v>
      </c>
      <c r="C126" s="7" t="s">
        <v>50</v>
      </c>
      <c r="D126" s="7" t="s">
        <v>51</v>
      </c>
      <c r="E126" s="7" t="s">
        <v>38</v>
      </c>
      <c r="F126" s="8">
        <v>2</v>
      </c>
      <c r="G126" s="9">
        <v>260.58</v>
      </c>
    </row>
    <row r="127" spans="1:7" x14ac:dyDescent="0.35">
      <c r="A127" s="6">
        <v>46060</v>
      </c>
      <c r="B127" s="7" t="s">
        <v>182</v>
      </c>
      <c r="C127" s="7" t="s">
        <v>36</v>
      </c>
      <c r="D127" s="7" t="s">
        <v>37</v>
      </c>
      <c r="E127" s="7" t="s">
        <v>38</v>
      </c>
      <c r="F127" s="8">
        <v>3</v>
      </c>
      <c r="G127" s="9">
        <v>118.17</v>
      </c>
    </row>
    <row r="128" spans="1:7" x14ac:dyDescent="0.35">
      <c r="A128" s="6">
        <v>46061</v>
      </c>
      <c r="B128" s="7" t="s">
        <v>183</v>
      </c>
      <c r="C128" s="7" t="s">
        <v>73</v>
      </c>
      <c r="D128" s="7" t="s">
        <v>74</v>
      </c>
      <c r="E128" s="7" t="s">
        <v>34</v>
      </c>
      <c r="F128" s="8">
        <v>1</v>
      </c>
      <c r="G128" s="9">
        <v>999</v>
      </c>
    </row>
    <row r="129" spans="1:7" x14ac:dyDescent="0.35">
      <c r="A129" s="6">
        <v>46061</v>
      </c>
      <c r="B129" s="7" t="s">
        <v>184</v>
      </c>
      <c r="C129" s="7" t="s">
        <v>79</v>
      </c>
      <c r="D129" s="7" t="s">
        <v>80</v>
      </c>
      <c r="E129" s="7" t="s">
        <v>52</v>
      </c>
      <c r="F129" s="8">
        <v>1</v>
      </c>
      <c r="G129" s="9">
        <v>440.02</v>
      </c>
    </row>
    <row r="130" spans="1:7" x14ac:dyDescent="0.35">
      <c r="A130" s="6">
        <v>46062</v>
      </c>
      <c r="B130" s="7" t="s">
        <v>185</v>
      </c>
      <c r="C130" s="7" t="s">
        <v>47</v>
      </c>
      <c r="D130" s="7" t="s">
        <v>48</v>
      </c>
      <c r="E130" s="7" t="s">
        <v>34</v>
      </c>
      <c r="F130" s="8">
        <v>3</v>
      </c>
      <c r="G130" s="9">
        <v>177</v>
      </c>
    </row>
    <row r="131" spans="1:7" x14ac:dyDescent="0.35">
      <c r="A131" s="6">
        <v>46062</v>
      </c>
      <c r="B131" s="7" t="s">
        <v>186</v>
      </c>
      <c r="C131" s="7" t="s">
        <v>50</v>
      </c>
      <c r="D131" s="7" t="s">
        <v>51</v>
      </c>
      <c r="E131" s="7" t="s">
        <v>34</v>
      </c>
      <c r="F131" s="8">
        <v>3</v>
      </c>
      <c r="G131" s="9">
        <v>387</v>
      </c>
    </row>
    <row r="132" spans="1:7" x14ac:dyDescent="0.35">
      <c r="A132" s="6">
        <v>46062</v>
      </c>
      <c r="B132" s="7" t="s">
        <v>187</v>
      </c>
      <c r="C132" s="7" t="s">
        <v>32</v>
      </c>
      <c r="D132" s="7" t="s">
        <v>33</v>
      </c>
      <c r="E132" s="7" t="s">
        <v>38</v>
      </c>
      <c r="F132" s="8">
        <v>4</v>
      </c>
      <c r="G132" s="9">
        <v>4843.96</v>
      </c>
    </row>
    <row r="133" spans="1:7" x14ac:dyDescent="0.35">
      <c r="A133" s="6">
        <v>46063</v>
      </c>
      <c r="B133" s="7" t="s">
        <v>188</v>
      </c>
      <c r="C133" s="7" t="s">
        <v>60</v>
      </c>
      <c r="D133" s="7" t="s">
        <v>61</v>
      </c>
      <c r="E133" s="7" t="s">
        <v>34</v>
      </c>
      <c r="F133" s="8">
        <v>8</v>
      </c>
      <c r="G133" s="9">
        <v>2632</v>
      </c>
    </row>
    <row r="134" spans="1:7" x14ac:dyDescent="0.35">
      <c r="A134" s="6">
        <v>46063</v>
      </c>
      <c r="B134" s="7" t="s">
        <v>189</v>
      </c>
      <c r="C134" s="7" t="s">
        <v>50</v>
      </c>
      <c r="D134" s="7" t="s">
        <v>51</v>
      </c>
      <c r="E134" s="7" t="s">
        <v>34</v>
      </c>
      <c r="F134" s="8">
        <v>1</v>
      </c>
      <c r="G134" s="9">
        <v>129</v>
      </c>
    </row>
    <row r="135" spans="1:7" x14ac:dyDescent="0.35">
      <c r="A135" s="6">
        <v>46063</v>
      </c>
      <c r="B135" s="7" t="s">
        <v>190</v>
      </c>
      <c r="C135" s="7" t="s">
        <v>83</v>
      </c>
      <c r="D135" s="7" t="s">
        <v>84</v>
      </c>
      <c r="E135" s="7" t="s">
        <v>42</v>
      </c>
      <c r="F135" s="8">
        <v>4</v>
      </c>
      <c r="G135" s="9">
        <v>471.24</v>
      </c>
    </row>
    <row r="136" spans="1:7" x14ac:dyDescent="0.35">
      <c r="A136" s="6">
        <v>46064</v>
      </c>
      <c r="B136" s="7" t="s">
        <v>191</v>
      </c>
      <c r="C136" s="7" t="s">
        <v>55</v>
      </c>
      <c r="D136" s="7" t="s">
        <v>56</v>
      </c>
      <c r="E136" s="7" t="s">
        <v>38</v>
      </c>
      <c r="F136" s="8">
        <v>8</v>
      </c>
      <c r="G136" s="9">
        <v>719.12</v>
      </c>
    </row>
    <row r="137" spans="1:7" x14ac:dyDescent="0.35">
      <c r="A137" s="6">
        <v>46064</v>
      </c>
      <c r="B137" s="7" t="s">
        <v>192</v>
      </c>
      <c r="C137" s="7" t="s">
        <v>83</v>
      </c>
      <c r="D137" s="7" t="s">
        <v>84</v>
      </c>
      <c r="E137" s="7" t="s">
        <v>38</v>
      </c>
      <c r="F137" s="8">
        <v>4</v>
      </c>
      <c r="G137" s="9">
        <v>480.76</v>
      </c>
    </row>
    <row r="138" spans="1:7" x14ac:dyDescent="0.35">
      <c r="A138" s="6">
        <v>46064</v>
      </c>
      <c r="B138" s="7" t="s">
        <v>193</v>
      </c>
      <c r="C138" s="7" t="s">
        <v>50</v>
      </c>
      <c r="D138" s="7" t="s">
        <v>51</v>
      </c>
      <c r="E138" s="7" t="s">
        <v>52</v>
      </c>
      <c r="F138" s="8">
        <v>3</v>
      </c>
      <c r="G138" s="9">
        <v>379.26</v>
      </c>
    </row>
    <row r="139" spans="1:7" x14ac:dyDescent="0.35">
      <c r="A139" s="6">
        <v>46064</v>
      </c>
      <c r="B139" s="7" t="s">
        <v>194</v>
      </c>
      <c r="C139" s="7" t="s">
        <v>83</v>
      </c>
      <c r="D139" s="7" t="s">
        <v>84</v>
      </c>
      <c r="E139" s="7" t="s">
        <v>38</v>
      </c>
      <c r="F139" s="8">
        <v>2</v>
      </c>
      <c r="G139" s="9">
        <v>240.38</v>
      </c>
    </row>
    <row r="140" spans="1:7" x14ac:dyDescent="0.35">
      <c r="A140" s="6">
        <v>46065</v>
      </c>
      <c r="B140" s="7" t="s">
        <v>195</v>
      </c>
      <c r="C140" s="7" t="s">
        <v>44</v>
      </c>
      <c r="D140" s="7" t="s">
        <v>45</v>
      </c>
      <c r="E140" s="7" t="s">
        <v>38</v>
      </c>
      <c r="F140" s="8">
        <v>4</v>
      </c>
      <c r="G140" s="9">
        <v>2217.96</v>
      </c>
    </row>
    <row r="141" spans="1:7" x14ac:dyDescent="0.35">
      <c r="A141" s="6">
        <v>46065</v>
      </c>
      <c r="B141" s="7" t="s">
        <v>196</v>
      </c>
      <c r="C141" s="7" t="s">
        <v>50</v>
      </c>
      <c r="D141" s="7" t="s">
        <v>51</v>
      </c>
      <c r="E141" s="7" t="s">
        <v>38</v>
      </c>
      <c r="F141" s="8">
        <v>1</v>
      </c>
      <c r="G141" s="9">
        <v>130.29</v>
      </c>
    </row>
    <row r="142" spans="1:7" x14ac:dyDescent="0.35">
      <c r="A142" s="6">
        <v>46065</v>
      </c>
      <c r="B142" s="7" t="s">
        <v>197</v>
      </c>
      <c r="C142" s="7" t="s">
        <v>32</v>
      </c>
      <c r="D142" s="7" t="s">
        <v>33</v>
      </c>
      <c r="E142" s="7" t="s">
        <v>34</v>
      </c>
      <c r="F142" s="8">
        <v>1</v>
      </c>
      <c r="G142" s="9">
        <v>1199</v>
      </c>
    </row>
    <row r="143" spans="1:7" x14ac:dyDescent="0.35">
      <c r="A143" s="6">
        <v>46066</v>
      </c>
      <c r="B143" s="7" t="s">
        <v>198</v>
      </c>
      <c r="C143" s="7" t="s">
        <v>50</v>
      </c>
      <c r="D143" s="7" t="s">
        <v>51</v>
      </c>
      <c r="E143" s="7" t="s">
        <v>34</v>
      </c>
      <c r="F143" s="8">
        <v>1</v>
      </c>
      <c r="G143" s="9">
        <v>129</v>
      </c>
    </row>
    <row r="144" spans="1:7" x14ac:dyDescent="0.35">
      <c r="A144" s="6">
        <v>46066</v>
      </c>
      <c r="B144" s="7" t="s">
        <v>199</v>
      </c>
      <c r="C144" s="7" t="s">
        <v>47</v>
      </c>
      <c r="D144" s="7" t="s">
        <v>48</v>
      </c>
      <c r="E144" s="7" t="s">
        <v>38</v>
      </c>
      <c r="F144" s="8">
        <v>1</v>
      </c>
      <c r="G144" s="9">
        <v>59.59</v>
      </c>
    </row>
    <row r="145" spans="1:7" x14ac:dyDescent="0.35">
      <c r="A145" s="6">
        <v>46066</v>
      </c>
      <c r="B145" s="7" t="s">
        <v>200</v>
      </c>
      <c r="C145" s="7" t="s">
        <v>60</v>
      </c>
      <c r="D145" s="7" t="s">
        <v>61</v>
      </c>
      <c r="E145" s="7" t="s">
        <v>42</v>
      </c>
      <c r="F145" s="8">
        <v>2</v>
      </c>
      <c r="G145" s="9">
        <v>651.41999999999996</v>
      </c>
    </row>
    <row r="146" spans="1:7" x14ac:dyDescent="0.35">
      <c r="A146" s="6">
        <v>46067</v>
      </c>
      <c r="B146" s="7" t="s">
        <v>201</v>
      </c>
      <c r="C146" s="7" t="s">
        <v>60</v>
      </c>
      <c r="D146" s="7" t="s">
        <v>61</v>
      </c>
      <c r="E146" s="7" t="s">
        <v>52</v>
      </c>
      <c r="F146" s="8">
        <v>3</v>
      </c>
      <c r="G146" s="9">
        <v>967.26</v>
      </c>
    </row>
    <row r="147" spans="1:7" x14ac:dyDescent="0.35">
      <c r="A147" s="6">
        <v>46067</v>
      </c>
      <c r="B147" s="7" t="s">
        <v>202</v>
      </c>
      <c r="C147" s="7" t="s">
        <v>47</v>
      </c>
      <c r="D147" s="7" t="s">
        <v>48</v>
      </c>
      <c r="E147" s="7" t="s">
        <v>52</v>
      </c>
      <c r="F147" s="8">
        <v>4</v>
      </c>
      <c r="G147" s="9">
        <v>231.28</v>
      </c>
    </row>
    <row r="148" spans="1:7" x14ac:dyDescent="0.35">
      <c r="A148" s="6">
        <v>46068</v>
      </c>
      <c r="B148" s="7" t="s">
        <v>203</v>
      </c>
      <c r="C148" s="7" t="s">
        <v>32</v>
      </c>
      <c r="D148" s="7" t="s">
        <v>33</v>
      </c>
      <c r="E148" s="7" t="s">
        <v>42</v>
      </c>
      <c r="F148" s="8">
        <v>4</v>
      </c>
      <c r="G148" s="9">
        <v>4748.04</v>
      </c>
    </row>
    <row r="149" spans="1:7" x14ac:dyDescent="0.35">
      <c r="A149" s="6">
        <v>46068</v>
      </c>
      <c r="B149" s="7" t="s">
        <v>204</v>
      </c>
      <c r="C149" s="7" t="s">
        <v>83</v>
      </c>
      <c r="D149" s="7" t="s">
        <v>84</v>
      </c>
      <c r="E149" s="7" t="s">
        <v>52</v>
      </c>
      <c r="F149" s="8">
        <v>2</v>
      </c>
      <c r="G149" s="9">
        <v>233.24</v>
      </c>
    </row>
    <row r="150" spans="1:7" x14ac:dyDescent="0.35">
      <c r="A150" s="6">
        <v>46069</v>
      </c>
      <c r="B150" s="7" t="s">
        <v>205</v>
      </c>
      <c r="C150" s="7" t="s">
        <v>50</v>
      </c>
      <c r="D150" s="7" t="s">
        <v>51</v>
      </c>
      <c r="E150" s="7" t="s">
        <v>38</v>
      </c>
      <c r="F150" s="8">
        <v>1</v>
      </c>
      <c r="G150" s="9">
        <v>130.29</v>
      </c>
    </row>
    <row r="151" spans="1:7" x14ac:dyDescent="0.35">
      <c r="A151" s="6">
        <v>46069</v>
      </c>
      <c r="B151" s="7" t="s">
        <v>206</v>
      </c>
      <c r="C151" s="7" t="s">
        <v>44</v>
      </c>
      <c r="D151" s="7" t="s">
        <v>45</v>
      </c>
      <c r="E151" s="7" t="s">
        <v>42</v>
      </c>
      <c r="F151" s="8">
        <v>1</v>
      </c>
      <c r="G151" s="9">
        <v>543.51</v>
      </c>
    </row>
    <row r="152" spans="1:7" x14ac:dyDescent="0.35">
      <c r="A152" s="6">
        <v>46069</v>
      </c>
      <c r="B152" s="7" t="s">
        <v>207</v>
      </c>
      <c r="C152" s="7" t="s">
        <v>76</v>
      </c>
      <c r="D152" s="7" t="s">
        <v>77</v>
      </c>
      <c r="E152" s="7" t="s">
        <v>38</v>
      </c>
      <c r="F152" s="8">
        <v>2</v>
      </c>
      <c r="G152" s="9">
        <v>1411.98</v>
      </c>
    </row>
    <row r="153" spans="1:7" x14ac:dyDescent="0.35">
      <c r="A153" s="6">
        <v>46069</v>
      </c>
      <c r="B153" s="7" t="s">
        <v>208</v>
      </c>
      <c r="C153" s="7" t="s">
        <v>73</v>
      </c>
      <c r="D153" s="7" t="s">
        <v>74</v>
      </c>
      <c r="E153" s="7" t="s">
        <v>42</v>
      </c>
      <c r="F153" s="8">
        <v>1</v>
      </c>
      <c r="G153" s="9">
        <v>989.01</v>
      </c>
    </row>
    <row r="154" spans="1:7" x14ac:dyDescent="0.35">
      <c r="A154" s="6">
        <v>46070</v>
      </c>
      <c r="B154" s="7" t="s">
        <v>209</v>
      </c>
      <c r="C154" s="7" t="s">
        <v>32</v>
      </c>
      <c r="D154" s="7" t="s">
        <v>33</v>
      </c>
      <c r="E154" s="7" t="s">
        <v>42</v>
      </c>
      <c r="F154" s="8">
        <v>3</v>
      </c>
      <c r="G154" s="9">
        <v>3561.03</v>
      </c>
    </row>
    <row r="155" spans="1:7" x14ac:dyDescent="0.35">
      <c r="A155" s="6">
        <v>46070</v>
      </c>
      <c r="B155" s="7" t="s">
        <v>210</v>
      </c>
      <c r="C155" s="7" t="s">
        <v>32</v>
      </c>
      <c r="D155" s="7" t="s">
        <v>33</v>
      </c>
      <c r="E155" s="7" t="s">
        <v>38</v>
      </c>
      <c r="F155" s="8">
        <v>1</v>
      </c>
      <c r="G155" s="9">
        <v>1210.99</v>
      </c>
    </row>
    <row r="156" spans="1:7" x14ac:dyDescent="0.35">
      <c r="A156" s="6">
        <v>46070</v>
      </c>
      <c r="B156" s="7" t="s">
        <v>211</v>
      </c>
      <c r="C156" s="7" t="s">
        <v>79</v>
      </c>
      <c r="D156" s="7" t="s">
        <v>80</v>
      </c>
      <c r="E156" s="7" t="s">
        <v>34</v>
      </c>
      <c r="F156" s="8">
        <v>2</v>
      </c>
      <c r="G156" s="9">
        <v>898</v>
      </c>
    </row>
    <row r="157" spans="1:7" x14ac:dyDescent="0.35">
      <c r="A157" s="6">
        <v>46070</v>
      </c>
      <c r="B157" s="7" t="s">
        <v>212</v>
      </c>
      <c r="C157" s="7" t="s">
        <v>73</v>
      </c>
      <c r="D157" s="7" t="s">
        <v>74</v>
      </c>
      <c r="E157" s="7" t="s">
        <v>42</v>
      </c>
      <c r="F157" s="8">
        <v>4</v>
      </c>
      <c r="G157" s="9">
        <v>3956.04</v>
      </c>
    </row>
    <row r="158" spans="1:7" x14ac:dyDescent="0.35">
      <c r="A158" s="6">
        <v>46071</v>
      </c>
      <c r="B158" s="7" t="s">
        <v>213</v>
      </c>
      <c r="C158" s="7" t="s">
        <v>36</v>
      </c>
      <c r="D158" s="7" t="s">
        <v>37</v>
      </c>
      <c r="E158" s="7" t="s">
        <v>52</v>
      </c>
      <c r="F158" s="8">
        <v>1</v>
      </c>
      <c r="G158" s="9">
        <v>38.22</v>
      </c>
    </row>
    <row r="159" spans="1:7" x14ac:dyDescent="0.35">
      <c r="A159" s="6">
        <v>46071</v>
      </c>
      <c r="B159" s="7" t="s">
        <v>214</v>
      </c>
      <c r="C159" s="7" t="s">
        <v>40</v>
      </c>
      <c r="D159" s="7" t="s">
        <v>41</v>
      </c>
      <c r="E159" s="7" t="s">
        <v>34</v>
      </c>
      <c r="F159" s="8">
        <v>3</v>
      </c>
      <c r="G159" s="9">
        <v>4197</v>
      </c>
    </row>
    <row r="160" spans="1:7" x14ac:dyDescent="0.35">
      <c r="A160" s="6">
        <v>46071</v>
      </c>
      <c r="B160" s="7" t="s">
        <v>215</v>
      </c>
      <c r="C160" s="7" t="s">
        <v>55</v>
      </c>
      <c r="D160" s="7" t="s">
        <v>56</v>
      </c>
      <c r="E160" s="7" t="s">
        <v>42</v>
      </c>
      <c r="F160" s="8">
        <v>3</v>
      </c>
      <c r="G160" s="9">
        <v>264.33</v>
      </c>
    </row>
    <row r="161" spans="1:7" x14ac:dyDescent="0.35">
      <c r="A161" s="6">
        <v>46072</v>
      </c>
      <c r="B161" s="7" t="s">
        <v>216</v>
      </c>
      <c r="C161" s="7" t="s">
        <v>47</v>
      </c>
      <c r="D161" s="7" t="s">
        <v>48</v>
      </c>
      <c r="E161" s="7" t="s">
        <v>38</v>
      </c>
      <c r="F161" s="8">
        <v>6</v>
      </c>
      <c r="G161" s="9">
        <v>357.54</v>
      </c>
    </row>
    <row r="162" spans="1:7" x14ac:dyDescent="0.35">
      <c r="A162" s="6">
        <v>46072</v>
      </c>
      <c r="B162" s="7" t="s">
        <v>217</v>
      </c>
      <c r="C162" s="7" t="s">
        <v>73</v>
      </c>
      <c r="D162" s="7" t="s">
        <v>74</v>
      </c>
      <c r="E162" s="7" t="s">
        <v>34</v>
      </c>
      <c r="F162" s="8">
        <v>1</v>
      </c>
      <c r="G162" s="9">
        <v>999</v>
      </c>
    </row>
    <row r="163" spans="1:7" x14ac:dyDescent="0.35">
      <c r="A163" s="6">
        <v>46072</v>
      </c>
      <c r="B163" s="7" t="s">
        <v>218</v>
      </c>
      <c r="C163" s="7" t="s">
        <v>73</v>
      </c>
      <c r="D163" s="7" t="s">
        <v>74</v>
      </c>
      <c r="E163" s="7" t="s">
        <v>38</v>
      </c>
      <c r="F163" s="8">
        <v>3</v>
      </c>
      <c r="G163" s="9">
        <v>3026.97</v>
      </c>
    </row>
    <row r="164" spans="1:7" x14ac:dyDescent="0.35">
      <c r="A164" s="6">
        <v>46072</v>
      </c>
      <c r="B164" s="7" t="s">
        <v>219</v>
      </c>
      <c r="C164" s="7" t="s">
        <v>44</v>
      </c>
      <c r="D164" s="7" t="s">
        <v>45</v>
      </c>
      <c r="E164" s="7" t="s">
        <v>38</v>
      </c>
      <c r="F164" s="8">
        <v>4</v>
      </c>
      <c r="G164" s="9">
        <v>2217.96</v>
      </c>
    </row>
    <row r="165" spans="1:7" x14ac:dyDescent="0.35">
      <c r="A165" s="6">
        <v>46073</v>
      </c>
      <c r="B165" s="7" t="s">
        <v>220</v>
      </c>
      <c r="C165" s="7" t="s">
        <v>47</v>
      </c>
      <c r="D165" s="7" t="s">
        <v>48</v>
      </c>
      <c r="E165" s="7" t="s">
        <v>38</v>
      </c>
      <c r="F165" s="8">
        <v>1</v>
      </c>
      <c r="G165" s="9">
        <v>59.59</v>
      </c>
    </row>
    <row r="166" spans="1:7" x14ac:dyDescent="0.35">
      <c r="A166" s="6">
        <v>46073</v>
      </c>
      <c r="B166" s="7" t="s">
        <v>221</v>
      </c>
      <c r="C166" s="7" t="s">
        <v>36</v>
      </c>
      <c r="D166" s="7" t="s">
        <v>37</v>
      </c>
      <c r="E166" s="7" t="s">
        <v>52</v>
      </c>
      <c r="F166" s="8">
        <v>1</v>
      </c>
      <c r="G166" s="9">
        <v>38.22</v>
      </c>
    </row>
    <row r="167" spans="1:7" x14ac:dyDescent="0.35">
      <c r="A167" s="6">
        <v>46073</v>
      </c>
      <c r="B167" s="7" t="s">
        <v>222</v>
      </c>
      <c r="C167" s="7" t="s">
        <v>32</v>
      </c>
      <c r="D167" s="7" t="s">
        <v>33</v>
      </c>
      <c r="E167" s="7" t="s">
        <v>42</v>
      </c>
      <c r="F167" s="8">
        <v>3</v>
      </c>
      <c r="G167" s="9">
        <v>3561.03</v>
      </c>
    </row>
    <row r="168" spans="1:7" x14ac:dyDescent="0.35">
      <c r="A168" s="6">
        <v>46074</v>
      </c>
      <c r="B168" s="7" t="s">
        <v>223</v>
      </c>
      <c r="C168" s="7" t="s">
        <v>60</v>
      </c>
      <c r="D168" s="7" t="s">
        <v>61</v>
      </c>
      <c r="E168" s="7" t="s">
        <v>38</v>
      </c>
      <c r="F168" s="8">
        <v>1</v>
      </c>
      <c r="G168" s="9">
        <v>332.29</v>
      </c>
    </row>
    <row r="169" spans="1:7" x14ac:dyDescent="0.35">
      <c r="A169" s="6">
        <v>46074</v>
      </c>
      <c r="B169" s="7" t="s">
        <v>224</v>
      </c>
      <c r="C169" s="7" t="s">
        <v>47</v>
      </c>
      <c r="D169" s="7" t="s">
        <v>48</v>
      </c>
      <c r="E169" s="7" t="s">
        <v>38</v>
      </c>
      <c r="F169" s="8">
        <v>1</v>
      </c>
      <c r="G169" s="9">
        <v>59.59</v>
      </c>
    </row>
    <row r="170" spans="1:7" x14ac:dyDescent="0.35">
      <c r="A170" s="6">
        <v>46074</v>
      </c>
      <c r="B170" s="7" t="s">
        <v>225</v>
      </c>
      <c r="C170" s="7" t="s">
        <v>36</v>
      </c>
      <c r="D170" s="7" t="s">
        <v>37</v>
      </c>
      <c r="E170" s="7" t="s">
        <v>52</v>
      </c>
      <c r="F170" s="8">
        <v>3</v>
      </c>
      <c r="G170" s="9">
        <v>114.66</v>
      </c>
    </row>
    <row r="171" spans="1:7" x14ac:dyDescent="0.35">
      <c r="A171" s="6">
        <v>46075</v>
      </c>
      <c r="B171" s="7" t="s">
        <v>226</v>
      </c>
      <c r="C171" s="7" t="s">
        <v>55</v>
      </c>
      <c r="D171" s="7" t="s">
        <v>56</v>
      </c>
      <c r="E171" s="7" t="s">
        <v>52</v>
      </c>
      <c r="F171" s="8">
        <v>2</v>
      </c>
      <c r="G171" s="9">
        <v>174.44</v>
      </c>
    </row>
    <row r="172" spans="1:7" x14ac:dyDescent="0.35">
      <c r="A172" s="6">
        <v>46075</v>
      </c>
      <c r="B172" s="7" t="s">
        <v>227</v>
      </c>
      <c r="C172" s="7" t="s">
        <v>60</v>
      </c>
      <c r="D172" s="7" t="s">
        <v>61</v>
      </c>
      <c r="E172" s="7" t="s">
        <v>42</v>
      </c>
      <c r="F172" s="8">
        <v>2</v>
      </c>
      <c r="G172" s="9">
        <v>651.41999999999996</v>
      </c>
    </row>
    <row r="173" spans="1:7" x14ac:dyDescent="0.35">
      <c r="A173" s="6">
        <v>46076</v>
      </c>
      <c r="B173" s="7" t="s">
        <v>228</v>
      </c>
      <c r="C173" s="7" t="s">
        <v>83</v>
      </c>
      <c r="D173" s="7" t="s">
        <v>84</v>
      </c>
      <c r="E173" s="7" t="s">
        <v>52</v>
      </c>
      <c r="F173" s="8">
        <v>1</v>
      </c>
      <c r="G173" s="9">
        <v>116.62</v>
      </c>
    </row>
    <row r="174" spans="1:7" x14ac:dyDescent="0.35">
      <c r="A174" s="6">
        <v>46076</v>
      </c>
      <c r="B174" s="7" t="s">
        <v>229</v>
      </c>
      <c r="C174" s="7" t="s">
        <v>55</v>
      </c>
      <c r="D174" s="7" t="s">
        <v>56</v>
      </c>
      <c r="E174" s="7" t="s">
        <v>38</v>
      </c>
      <c r="F174" s="8">
        <v>5</v>
      </c>
      <c r="G174" s="9">
        <v>449.45</v>
      </c>
    </row>
    <row r="175" spans="1:7" x14ac:dyDescent="0.35">
      <c r="A175" s="6">
        <v>46076</v>
      </c>
      <c r="B175" s="7" t="s">
        <v>230</v>
      </c>
      <c r="C175" s="7" t="s">
        <v>36</v>
      </c>
      <c r="D175" s="7" t="s">
        <v>37</v>
      </c>
      <c r="E175" s="7" t="s">
        <v>42</v>
      </c>
      <c r="F175" s="8">
        <v>4</v>
      </c>
      <c r="G175" s="9">
        <v>154.44</v>
      </c>
    </row>
    <row r="176" spans="1:7" x14ac:dyDescent="0.35">
      <c r="A176" s="6">
        <v>46077</v>
      </c>
      <c r="B176" s="7" t="s">
        <v>231</v>
      </c>
      <c r="C176" s="7" t="s">
        <v>44</v>
      </c>
      <c r="D176" s="7" t="s">
        <v>45</v>
      </c>
      <c r="E176" s="7" t="s">
        <v>52</v>
      </c>
      <c r="F176" s="8">
        <v>3</v>
      </c>
      <c r="G176" s="9">
        <v>1614.06</v>
      </c>
    </row>
    <row r="177" spans="1:7" x14ac:dyDescent="0.35">
      <c r="A177" s="6">
        <v>46077</v>
      </c>
      <c r="B177" s="7" t="s">
        <v>232</v>
      </c>
      <c r="C177" s="7" t="s">
        <v>50</v>
      </c>
      <c r="D177" s="7" t="s">
        <v>51</v>
      </c>
      <c r="E177" s="7" t="s">
        <v>42</v>
      </c>
      <c r="F177" s="8">
        <v>4</v>
      </c>
      <c r="G177" s="9">
        <v>510.84</v>
      </c>
    </row>
    <row r="178" spans="1:7" x14ac:dyDescent="0.35">
      <c r="A178" s="6">
        <v>46077</v>
      </c>
      <c r="B178" s="7" t="s">
        <v>233</v>
      </c>
      <c r="C178" s="7" t="s">
        <v>44</v>
      </c>
      <c r="D178" s="7" t="s">
        <v>45</v>
      </c>
      <c r="E178" s="7" t="s">
        <v>52</v>
      </c>
      <c r="F178" s="8">
        <v>5</v>
      </c>
      <c r="G178" s="9">
        <v>2690.1</v>
      </c>
    </row>
    <row r="179" spans="1:7" x14ac:dyDescent="0.35">
      <c r="A179" s="6">
        <v>46077</v>
      </c>
      <c r="B179" s="7" t="s">
        <v>234</v>
      </c>
      <c r="C179" s="7" t="s">
        <v>40</v>
      </c>
      <c r="D179" s="7" t="s">
        <v>41</v>
      </c>
      <c r="E179" s="7" t="s">
        <v>52</v>
      </c>
      <c r="F179" s="8">
        <v>1</v>
      </c>
      <c r="G179" s="9">
        <v>1371.02</v>
      </c>
    </row>
    <row r="180" spans="1:7" x14ac:dyDescent="0.35">
      <c r="A180" s="6">
        <v>46078</v>
      </c>
      <c r="B180" s="7" t="s">
        <v>235</v>
      </c>
      <c r="C180" s="7" t="s">
        <v>47</v>
      </c>
      <c r="D180" s="7" t="s">
        <v>48</v>
      </c>
      <c r="E180" s="7" t="s">
        <v>42</v>
      </c>
      <c r="F180" s="8">
        <v>1</v>
      </c>
      <c r="G180" s="9">
        <v>58.41</v>
      </c>
    </row>
    <row r="181" spans="1:7" x14ac:dyDescent="0.35">
      <c r="A181" s="6">
        <v>46078</v>
      </c>
      <c r="B181" s="7" t="s">
        <v>236</v>
      </c>
      <c r="C181" s="7" t="s">
        <v>83</v>
      </c>
      <c r="D181" s="7" t="s">
        <v>84</v>
      </c>
      <c r="E181" s="7" t="s">
        <v>34</v>
      </c>
      <c r="F181" s="8">
        <v>1</v>
      </c>
      <c r="G181" s="9">
        <v>119</v>
      </c>
    </row>
    <row r="182" spans="1:7" x14ac:dyDescent="0.35">
      <c r="A182" s="6">
        <v>46078</v>
      </c>
      <c r="B182" s="7" t="s">
        <v>237</v>
      </c>
      <c r="C182" s="7" t="s">
        <v>36</v>
      </c>
      <c r="D182" s="7" t="s">
        <v>37</v>
      </c>
      <c r="E182" s="7" t="s">
        <v>42</v>
      </c>
      <c r="F182" s="8">
        <v>5</v>
      </c>
      <c r="G182" s="9">
        <v>193.05</v>
      </c>
    </row>
    <row r="183" spans="1:7" x14ac:dyDescent="0.35">
      <c r="A183" s="6">
        <v>46078</v>
      </c>
      <c r="B183" s="7" t="s">
        <v>238</v>
      </c>
      <c r="C183" s="7" t="s">
        <v>47</v>
      </c>
      <c r="D183" s="7" t="s">
        <v>48</v>
      </c>
      <c r="E183" s="7" t="s">
        <v>34</v>
      </c>
      <c r="F183" s="8">
        <v>1</v>
      </c>
      <c r="G183" s="9">
        <v>59</v>
      </c>
    </row>
    <row r="184" spans="1:7" x14ac:dyDescent="0.35">
      <c r="A184" s="6">
        <v>46079</v>
      </c>
      <c r="B184" s="7" t="s">
        <v>239</v>
      </c>
      <c r="C184" s="7" t="s">
        <v>40</v>
      </c>
      <c r="D184" s="7" t="s">
        <v>41</v>
      </c>
      <c r="E184" s="7" t="s">
        <v>38</v>
      </c>
      <c r="F184" s="8">
        <v>2</v>
      </c>
      <c r="G184" s="9">
        <v>2825.98</v>
      </c>
    </row>
    <row r="185" spans="1:7" x14ac:dyDescent="0.35">
      <c r="A185" s="6">
        <v>46079</v>
      </c>
      <c r="B185" s="7" t="s">
        <v>240</v>
      </c>
      <c r="C185" s="7" t="s">
        <v>36</v>
      </c>
      <c r="D185" s="7" t="s">
        <v>37</v>
      </c>
      <c r="E185" s="7" t="s">
        <v>38</v>
      </c>
      <c r="F185" s="8">
        <v>3</v>
      </c>
      <c r="G185" s="9">
        <v>118.17</v>
      </c>
    </row>
    <row r="186" spans="1:7" x14ac:dyDescent="0.35">
      <c r="A186" s="6">
        <v>46079</v>
      </c>
      <c r="B186" s="7" t="s">
        <v>241</v>
      </c>
      <c r="C186" s="7" t="s">
        <v>50</v>
      </c>
      <c r="D186" s="7" t="s">
        <v>51</v>
      </c>
      <c r="E186" s="7" t="s">
        <v>52</v>
      </c>
      <c r="F186" s="8">
        <v>1</v>
      </c>
      <c r="G186" s="9">
        <v>126.42</v>
      </c>
    </row>
    <row r="187" spans="1:7" x14ac:dyDescent="0.35">
      <c r="A187" s="6">
        <v>46079</v>
      </c>
      <c r="B187" s="7" t="s">
        <v>242</v>
      </c>
      <c r="C187" s="7" t="s">
        <v>44</v>
      </c>
      <c r="D187" s="7" t="s">
        <v>45</v>
      </c>
      <c r="E187" s="7" t="s">
        <v>38</v>
      </c>
      <c r="F187" s="8">
        <v>2</v>
      </c>
      <c r="G187" s="9">
        <v>1108.98</v>
      </c>
    </row>
    <row r="188" spans="1:7" x14ac:dyDescent="0.35">
      <c r="A188" s="6">
        <v>46080</v>
      </c>
      <c r="B188" s="7" t="s">
        <v>243</v>
      </c>
      <c r="C188" s="7" t="s">
        <v>79</v>
      </c>
      <c r="D188" s="7" t="s">
        <v>80</v>
      </c>
      <c r="E188" s="7" t="s">
        <v>42</v>
      </c>
      <c r="F188" s="8">
        <v>2</v>
      </c>
      <c r="G188" s="9">
        <v>889.02</v>
      </c>
    </row>
    <row r="189" spans="1:7" x14ac:dyDescent="0.35">
      <c r="A189" s="6">
        <v>46080</v>
      </c>
      <c r="B189" s="7" t="s">
        <v>244</v>
      </c>
      <c r="C189" s="7" t="s">
        <v>36</v>
      </c>
      <c r="D189" s="7" t="s">
        <v>37</v>
      </c>
      <c r="E189" s="7" t="s">
        <v>42</v>
      </c>
      <c r="F189" s="8">
        <v>4</v>
      </c>
      <c r="G189" s="9">
        <v>154.44</v>
      </c>
    </row>
    <row r="190" spans="1:7" x14ac:dyDescent="0.35">
      <c r="A190" s="6">
        <v>46080</v>
      </c>
      <c r="B190" s="7" t="s">
        <v>245</v>
      </c>
      <c r="C190" s="7" t="s">
        <v>44</v>
      </c>
      <c r="D190" s="7" t="s">
        <v>45</v>
      </c>
      <c r="E190" s="7" t="s">
        <v>34</v>
      </c>
      <c r="F190" s="8">
        <v>1</v>
      </c>
      <c r="G190" s="9">
        <v>549</v>
      </c>
    </row>
    <row r="191" spans="1:7" x14ac:dyDescent="0.35">
      <c r="A191" s="6">
        <v>46080</v>
      </c>
      <c r="B191" s="7" t="s">
        <v>246</v>
      </c>
      <c r="C191" s="7" t="s">
        <v>73</v>
      </c>
      <c r="D191" s="7" t="s">
        <v>74</v>
      </c>
      <c r="E191" s="7" t="s">
        <v>34</v>
      </c>
      <c r="F191" s="8">
        <v>3</v>
      </c>
      <c r="G191" s="9">
        <v>2997</v>
      </c>
    </row>
    <row r="192" spans="1:7" x14ac:dyDescent="0.35">
      <c r="A192" s="6">
        <v>46081</v>
      </c>
      <c r="B192" s="7" t="s">
        <v>247</v>
      </c>
      <c r="C192" s="7" t="s">
        <v>73</v>
      </c>
      <c r="D192" s="7" t="s">
        <v>74</v>
      </c>
      <c r="E192" s="7" t="s">
        <v>34</v>
      </c>
      <c r="F192" s="8">
        <v>2</v>
      </c>
      <c r="G192" s="9">
        <v>1998</v>
      </c>
    </row>
    <row r="193" spans="1:7" x14ac:dyDescent="0.35">
      <c r="A193" s="6">
        <v>46081</v>
      </c>
      <c r="B193" s="7" t="s">
        <v>248</v>
      </c>
      <c r="C193" s="7" t="s">
        <v>36</v>
      </c>
      <c r="D193" s="7" t="s">
        <v>37</v>
      </c>
      <c r="E193" s="7" t="s">
        <v>52</v>
      </c>
      <c r="F193" s="8">
        <v>3</v>
      </c>
      <c r="G193" s="9">
        <v>114.66</v>
      </c>
    </row>
    <row r="194" spans="1:7" x14ac:dyDescent="0.35">
      <c r="A194" s="6">
        <v>46081</v>
      </c>
      <c r="B194" s="7" t="s">
        <v>249</v>
      </c>
      <c r="C194" s="7" t="s">
        <v>44</v>
      </c>
      <c r="D194" s="7" t="s">
        <v>45</v>
      </c>
      <c r="E194" s="7" t="s">
        <v>34</v>
      </c>
      <c r="F194" s="8">
        <v>1</v>
      </c>
      <c r="G194" s="9">
        <v>549</v>
      </c>
    </row>
    <row r="195" spans="1:7" x14ac:dyDescent="0.35">
      <c r="A195" s="6">
        <v>46082</v>
      </c>
      <c r="B195" s="7" t="s">
        <v>250</v>
      </c>
      <c r="C195" s="7" t="s">
        <v>73</v>
      </c>
      <c r="D195" s="7" t="s">
        <v>74</v>
      </c>
      <c r="E195" s="7" t="s">
        <v>34</v>
      </c>
      <c r="F195" s="8">
        <v>3</v>
      </c>
      <c r="G195" s="9">
        <v>2997</v>
      </c>
    </row>
    <row r="196" spans="1:7" x14ac:dyDescent="0.35">
      <c r="A196" s="6">
        <v>46082</v>
      </c>
      <c r="B196" s="7" t="s">
        <v>251</v>
      </c>
      <c r="C196" s="7" t="s">
        <v>44</v>
      </c>
      <c r="D196" s="7" t="s">
        <v>45</v>
      </c>
      <c r="E196" s="7" t="s">
        <v>52</v>
      </c>
      <c r="F196" s="8">
        <v>3</v>
      </c>
      <c r="G196" s="9">
        <v>1614.06</v>
      </c>
    </row>
    <row r="197" spans="1:7" x14ac:dyDescent="0.35">
      <c r="A197" s="6">
        <v>46083</v>
      </c>
      <c r="B197" s="7" t="s">
        <v>252</v>
      </c>
      <c r="C197" s="7" t="s">
        <v>73</v>
      </c>
      <c r="D197" s="7" t="s">
        <v>74</v>
      </c>
      <c r="E197" s="7" t="s">
        <v>52</v>
      </c>
      <c r="F197" s="8">
        <v>2</v>
      </c>
      <c r="G197" s="9">
        <v>1958.04</v>
      </c>
    </row>
    <row r="198" spans="1:7" x14ac:dyDescent="0.35">
      <c r="A198" s="6">
        <v>46083</v>
      </c>
      <c r="B198" s="7" t="s">
        <v>253</v>
      </c>
      <c r="C198" s="7" t="s">
        <v>83</v>
      </c>
      <c r="D198" s="7" t="s">
        <v>84</v>
      </c>
      <c r="E198" s="7" t="s">
        <v>38</v>
      </c>
      <c r="F198" s="8">
        <v>2</v>
      </c>
      <c r="G198" s="9">
        <v>240.38</v>
      </c>
    </row>
    <row r="199" spans="1:7" x14ac:dyDescent="0.35">
      <c r="A199" s="6">
        <v>46083</v>
      </c>
      <c r="B199" s="7" t="s">
        <v>254</v>
      </c>
      <c r="C199" s="7" t="s">
        <v>79</v>
      </c>
      <c r="D199" s="7" t="s">
        <v>80</v>
      </c>
      <c r="E199" s="7" t="s">
        <v>34</v>
      </c>
      <c r="F199" s="8">
        <v>1</v>
      </c>
      <c r="G199" s="9">
        <v>449</v>
      </c>
    </row>
    <row r="200" spans="1:7" x14ac:dyDescent="0.35">
      <c r="A200" s="6">
        <v>46083</v>
      </c>
      <c r="B200" s="7" t="s">
        <v>255</v>
      </c>
      <c r="C200" s="7" t="s">
        <v>55</v>
      </c>
      <c r="D200" s="7" t="s">
        <v>56</v>
      </c>
      <c r="E200" s="7" t="s">
        <v>42</v>
      </c>
      <c r="F200" s="8">
        <v>5</v>
      </c>
      <c r="G200" s="9">
        <v>440.55</v>
      </c>
    </row>
    <row r="201" spans="1:7" x14ac:dyDescent="0.35">
      <c r="A201" s="6">
        <v>46084</v>
      </c>
      <c r="B201" s="7" t="s">
        <v>256</v>
      </c>
      <c r="C201" s="7" t="s">
        <v>32</v>
      </c>
      <c r="D201" s="7" t="s">
        <v>33</v>
      </c>
      <c r="E201" s="7" t="s">
        <v>38</v>
      </c>
      <c r="F201" s="8">
        <v>1</v>
      </c>
      <c r="G201" s="9">
        <v>1210.99</v>
      </c>
    </row>
    <row r="202" spans="1:7" x14ac:dyDescent="0.35">
      <c r="A202" s="6">
        <v>46084</v>
      </c>
      <c r="B202" s="7" t="s">
        <v>257</v>
      </c>
      <c r="C202" s="7" t="s">
        <v>73</v>
      </c>
      <c r="D202" s="7" t="s">
        <v>74</v>
      </c>
      <c r="E202" s="7" t="s">
        <v>38</v>
      </c>
      <c r="F202" s="8">
        <v>2</v>
      </c>
      <c r="G202" s="9">
        <v>2017.98</v>
      </c>
    </row>
    <row r="203" spans="1:7" x14ac:dyDescent="0.35">
      <c r="A203" s="6">
        <v>46084</v>
      </c>
      <c r="B203" s="7" t="s">
        <v>258</v>
      </c>
      <c r="C203" s="7" t="s">
        <v>55</v>
      </c>
      <c r="D203" s="7" t="s">
        <v>56</v>
      </c>
      <c r="E203" s="7" t="s">
        <v>34</v>
      </c>
      <c r="F203" s="8">
        <v>4</v>
      </c>
      <c r="G203" s="9">
        <v>356</v>
      </c>
    </row>
    <row r="204" spans="1:7" x14ac:dyDescent="0.35">
      <c r="A204" s="6">
        <v>46085</v>
      </c>
      <c r="B204" s="7" t="s">
        <v>259</v>
      </c>
      <c r="C204" s="7" t="s">
        <v>36</v>
      </c>
      <c r="D204" s="7" t="s">
        <v>37</v>
      </c>
      <c r="E204" s="7" t="s">
        <v>34</v>
      </c>
      <c r="F204" s="8">
        <v>3</v>
      </c>
      <c r="G204" s="9">
        <v>117</v>
      </c>
    </row>
    <row r="205" spans="1:7" x14ac:dyDescent="0.35">
      <c r="A205" s="6">
        <v>46085</v>
      </c>
      <c r="B205" s="7" t="s">
        <v>260</v>
      </c>
      <c r="C205" s="7" t="s">
        <v>79</v>
      </c>
      <c r="D205" s="7" t="s">
        <v>80</v>
      </c>
      <c r="E205" s="7" t="s">
        <v>42</v>
      </c>
      <c r="F205" s="8">
        <v>5</v>
      </c>
      <c r="G205" s="9">
        <v>2222.5500000000002</v>
      </c>
    </row>
    <row r="206" spans="1:7" x14ac:dyDescent="0.35">
      <c r="A206" s="6">
        <v>46085</v>
      </c>
      <c r="B206" s="7" t="s">
        <v>261</v>
      </c>
      <c r="C206" s="7" t="s">
        <v>55</v>
      </c>
      <c r="D206" s="7" t="s">
        <v>56</v>
      </c>
      <c r="E206" s="7" t="s">
        <v>42</v>
      </c>
      <c r="F206" s="8">
        <v>3</v>
      </c>
      <c r="G206" s="9">
        <v>264.33</v>
      </c>
    </row>
    <row r="207" spans="1:7" x14ac:dyDescent="0.35">
      <c r="A207" s="6">
        <v>46085</v>
      </c>
      <c r="B207" s="7" t="s">
        <v>262</v>
      </c>
      <c r="C207" s="7" t="s">
        <v>47</v>
      </c>
      <c r="D207" s="7" t="s">
        <v>48</v>
      </c>
      <c r="E207" s="7" t="s">
        <v>38</v>
      </c>
      <c r="F207" s="8">
        <v>6</v>
      </c>
      <c r="G207" s="9">
        <v>357.54</v>
      </c>
    </row>
    <row r="208" spans="1:7" x14ac:dyDescent="0.35">
      <c r="A208" s="6">
        <v>46086</v>
      </c>
      <c r="B208" s="7" t="s">
        <v>263</v>
      </c>
      <c r="C208" s="7" t="s">
        <v>73</v>
      </c>
      <c r="D208" s="7" t="s">
        <v>74</v>
      </c>
      <c r="E208" s="7" t="s">
        <v>38</v>
      </c>
      <c r="F208" s="8">
        <v>1</v>
      </c>
      <c r="G208" s="9">
        <v>1008.99</v>
      </c>
    </row>
    <row r="209" spans="1:7" x14ac:dyDescent="0.35">
      <c r="A209" s="6">
        <v>46086</v>
      </c>
      <c r="B209" s="7" t="s">
        <v>264</v>
      </c>
      <c r="C209" s="7" t="s">
        <v>73</v>
      </c>
      <c r="D209" s="7" t="s">
        <v>74</v>
      </c>
      <c r="E209" s="7" t="s">
        <v>34</v>
      </c>
      <c r="F209" s="8">
        <v>1</v>
      </c>
      <c r="G209" s="9">
        <v>999</v>
      </c>
    </row>
    <row r="210" spans="1:7" x14ac:dyDescent="0.35">
      <c r="A210" s="6">
        <v>46086</v>
      </c>
      <c r="B210" s="7" t="s">
        <v>265</v>
      </c>
      <c r="C210" s="7" t="s">
        <v>79</v>
      </c>
      <c r="D210" s="7" t="s">
        <v>80</v>
      </c>
      <c r="E210" s="7" t="s">
        <v>38</v>
      </c>
      <c r="F210" s="8">
        <v>2</v>
      </c>
      <c r="G210" s="9">
        <v>906.98</v>
      </c>
    </row>
    <row r="211" spans="1:7" x14ac:dyDescent="0.35">
      <c r="A211" s="6">
        <v>46087</v>
      </c>
      <c r="B211" s="7" t="s">
        <v>266</v>
      </c>
      <c r="C211" s="7" t="s">
        <v>36</v>
      </c>
      <c r="D211" s="7" t="s">
        <v>37</v>
      </c>
      <c r="E211" s="7" t="s">
        <v>38</v>
      </c>
      <c r="F211" s="8">
        <v>2</v>
      </c>
      <c r="G211" s="9">
        <v>78.78</v>
      </c>
    </row>
    <row r="212" spans="1:7" x14ac:dyDescent="0.35">
      <c r="A212" s="6">
        <v>46087</v>
      </c>
      <c r="B212" s="7" t="s">
        <v>267</v>
      </c>
      <c r="C212" s="7" t="s">
        <v>47</v>
      </c>
      <c r="D212" s="7" t="s">
        <v>48</v>
      </c>
      <c r="E212" s="7" t="s">
        <v>52</v>
      </c>
      <c r="F212" s="8">
        <v>4</v>
      </c>
      <c r="G212" s="9">
        <v>231.28</v>
      </c>
    </row>
    <row r="213" spans="1:7" x14ac:dyDescent="0.35">
      <c r="A213" s="6">
        <v>46087</v>
      </c>
      <c r="B213" s="7" t="s">
        <v>268</v>
      </c>
      <c r="C213" s="7" t="s">
        <v>47</v>
      </c>
      <c r="D213" s="7" t="s">
        <v>48</v>
      </c>
      <c r="E213" s="7" t="s">
        <v>38</v>
      </c>
      <c r="F213" s="8">
        <v>6</v>
      </c>
      <c r="G213" s="9">
        <v>357.54</v>
      </c>
    </row>
    <row r="214" spans="1:7" x14ac:dyDescent="0.35">
      <c r="A214" s="6">
        <v>46088</v>
      </c>
      <c r="B214" s="7" t="s">
        <v>269</v>
      </c>
      <c r="C214" s="7" t="s">
        <v>50</v>
      </c>
      <c r="D214" s="7" t="s">
        <v>51</v>
      </c>
      <c r="E214" s="7" t="s">
        <v>38</v>
      </c>
      <c r="F214" s="8">
        <v>6</v>
      </c>
      <c r="G214" s="9">
        <v>781.74</v>
      </c>
    </row>
    <row r="215" spans="1:7" x14ac:dyDescent="0.35">
      <c r="A215" s="6">
        <v>46088</v>
      </c>
      <c r="B215" s="7" t="s">
        <v>270</v>
      </c>
      <c r="C215" s="7" t="s">
        <v>36</v>
      </c>
      <c r="D215" s="7" t="s">
        <v>37</v>
      </c>
      <c r="E215" s="7" t="s">
        <v>34</v>
      </c>
      <c r="F215" s="8">
        <v>1</v>
      </c>
      <c r="G215" s="9">
        <v>39</v>
      </c>
    </row>
    <row r="216" spans="1:7" x14ac:dyDescent="0.35">
      <c r="A216" s="6">
        <v>46089</v>
      </c>
      <c r="B216" s="7" t="s">
        <v>271</v>
      </c>
      <c r="C216" s="7" t="s">
        <v>36</v>
      </c>
      <c r="D216" s="7" t="s">
        <v>37</v>
      </c>
      <c r="E216" s="7" t="s">
        <v>38</v>
      </c>
      <c r="F216" s="8">
        <v>2</v>
      </c>
      <c r="G216" s="9">
        <v>78.78</v>
      </c>
    </row>
    <row r="217" spans="1:7" x14ac:dyDescent="0.35">
      <c r="A217" s="6">
        <v>46089</v>
      </c>
      <c r="B217" s="7" t="s">
        <v>272</v>
      </c>
      <c r="C217" s="7" t="s">
        <v>40</v>
      </c>
      <c r="D217" s="7" t="s">
        <v>41</v>
      </c>
      <c r="E217" s="7" t="s">
        <v>38</v>
      </c>
      <c r="F217" s="8">
        <v>3</v>
      </c>
      <c r="G217" s="9">
        <v>4238.97</v>
      </c>
    </row>
    <row r="218" spans="1:7" x14ac:dyDescent="0.35">
      <c r="A218" s="6">
        <v>46090</v>
      </c>
      <c r="B218" s="7" t="s">
        <v>273</v>
      </c>
      <c r="C218" s="7" t="s">
        <v>50</v>
      </c>
      <c r="D218" s="7" t="s">
        <v>51</v>
      </c>
      <c r="E218" s="7" t="s">
        <v>42</v>
      </c>
      <c r="F218" s="8">
        <v>1</v>
      </c>
      <c r="G218" s="9">
        <v>127.71</v>
      </c>
    </row>
    <row r="219" spans="1:7" x14ac:dyDescent="0.35">
      <c r="A219" s="6">
        <v>46090</v>
      </c>
      <c r="B219" s="7" t="s">
        <v>274</v>
      </c>
      <c r="C219" s="7" t="s">
        <v>32</v>
      </c>
      <c r="D219" s="7" t="s">
        <v>33</v>
      </c>
      <c r="E219" s="7" t="s">
        <v>42</v>
      </c>
      <c r="F219" s="8">
        <v>2</v>
      </c>
      <c r="G219" s="9">
        <v>2374.02</v>
      </c>
    </row>
    <row r="220" spans="1:7" x14ac:dyDescent="0.35">
      <c r="A220" s="6">
        <v>46090</v>
      </c>
      <c r="B220" s="7" t="s">
        <v>275</v>
      </c>
      <c r="C220" s="7" t="s">
        <v>44</v>
      </c>
      <c r="D220" s="7" t="s">
        <v>45</v>
      </c>
      <c r="E220" s="7" t="s">
        <v>34</v>
      </c>
      <c r="F220" s="8">
        <v>8</v>
      </c>
      <c r="G220" s="9">
        <v>4392</v>
      </c>
    </row>
    <row r="221" spans="1:7" x14ac:dyDescent="0.35">
      <c r="A221" s="6">
        <v>46090</v>
      </c>
      <c r="B221" s="7" t="s">
        <v>276</v>
      </c>
      <c r="C221" s="7" t="s">
        <v>36</v>
      </c>
      <c r="D221" s="7" t="s">
        <v>37</v>
      </c>
      <c r="E221" s="7" t="s">
        <v>38</v>
      </c>
      <c r="F221" s="8">
        <v>8</v>
      </c>
      <c r="G221" s="9">
        <v>315.12</v>
      </c>
    </row>
    <row r="222" spans="1:7" x14ac:dyDescent="0.35">
      <c r="A222" s="6">
        <v>46091</v>
      </c>
      <c r="B222" s="7" t="s">
        <v>277</v>
      </c>
      <c r="C222" s="7" t="s">
        <v>47</v>
      </c>
      <c r="D222" s="7" t="s">
        <v>48</v>
      </c>
      <c r="E222" s="7" t="s">
        <v>34</v>
      </c>
      <c r="F222" s="8">
        <v>1</v>
      </c>
      <c r="G222" s="9">
        <v>59</v>
      </c>
    </row>
    <row r="223" spans="1:7" x14ac:dyDescent="0.35">
      <c r="A223" s="6">
        <v>46091</v>
      </c>
      <c r="B223" s="7" t="s">
        <v>278</v>
      </c>
      <c r="C223" s="7" t="s">
        <v>36</v>
      </c>
      <c r="D223" s="7" t="s">
        <v>37</v>
      </c>
      <c r="E223" s="7" t="s">
        <v>42</v>
      </c>
      <c r="F223" s="8">
        <v>3</v>
      </c>
      <c r="G223" s="9">
        <v>115.83</v>
      </c>
    </row>
    <row r="224" spans="1:7" x14ac:dyDescent="0.35">
      <c r="A224" s="6">
        <v>46091</v>
      </c>
      <c r="B224" s="7" t="s">
        <v>279</v>
      </c>
      <c r="C224" s="7" t="s">
        <v>55</v>
      </c>
      <c r="D224" s="7" t="s">
        <v>56</v>
      </c>
      <c r="E224" s="7" t="s">
        <v>34</v>
      </c>
      <c r="F224" s="8">
        <v>3</v>
      </c>
      <c r="G224" s="9">
        <v>267</v>
      </c>
    </row>
    <row r="225" spans="1:7" x14ac:dyDescent="0.35">
      <c r="A225" s="6">
        <v>46091</v>
      </c>
      <c r="B225" s="7" t="s">
        <v>280</v>
      </c>
      <c r="C225" s="7" t="s">
        <v>47</v>
      </c>
      <c r="D225" s="7" t="s">
        <v>48</v>
      </c>
      <c r="E225" s="7" t="s">
        <v>42</v>
      </c>
      <c r="F225" s="8">
        <v>1</v>
      </c>
      <c r="G225" s="9">
        <v>58.41</v>
      </c>
    </row>
    <row r="226" spans="1:7" x14ac:dyDescent="0.35">
      <c r="A226" s="6">
        <v>46092</v>
      </c>
      <c r="B226" s="7" t="s">
        <v>281</v>
      </c>
      <c r="C226" s="7" t="s">
        <v>76</v>
      </c>
      <c r="D226" s="7" t="s">
        <v>77</v>
      </c>
      <c r="E226" s="7" t="s">
        <v>38</v>
      </c>
      <c r="F226" s="8">
        <v>5</v>
      </c>
      <c r="G226" s="9">
        <v>3529.95</v>
      </c>
    </row>
    <row r="227" spans="1:7" x14ac:dyDescent="0.35">
      <c r="A227" s="6">
        <v>46092</v>
      </c>
      <c r="B227" s="7" t="s">
        <v>282</v>
      </c>
      <c r="C227" s="7" t="s">
        <v>76</v>
      </c>
      <c r="D227" s="7" t="s">
        <v>77</v>
      </c>
      <c r="E227" s="7" t="s">
        <v>38</v>
      </c>
      <c r="F227" s="8">
        <v>2</v>
      </c>
      <c r="G227" s="9">
        <v>1411.98</v>
      </c>
    </row>
    <row r="228" spans="1:7" x14ac:dyDescent="0.35">
      <c r="A228" s="6">
        <v>46092</v>
      </c>
      <c r="B228" s="7" t="s">
        <v>283</v>
      </c>
      <c r="C228" s="7" t="s">
        <v>55</v>
      </c>
      <c r="D228" s="7" t="s">
        <v>56</v>
      </c>
      <c r="E228" s="7" t="s">
        <v>52</v>
      </c>
      <c r="F228" s="8">
        <v>3</v>
      </c>
      <c r="G228" s="9">
        <v>261.66000000000003</v>
      </c>
    </row>
    <row r="229" spans="1:7" x14ac:dyDescent="0.35">
      <c r="A229" s="6">
        <v>46093</v>
      </c>
      <c r="B229" s="7" t="s">
        <v>284</v>
      </c>
      <c r="C229" s="7" t="s">
        <v>76</v>
      </c>
      <c r="D229" s="7" t="s">
        <v>77</v>
      </c>
      <c r="E229" s="7" t="s">
        <v>42</v>
      </c>
      <c r="F229" s="8">
        <v>8</v>
      </c>
      <c r="G229" s="9">
        <v>5536.08</v>
      </c>
    </row>
    <row r="230" spans="1:7" x14ac:dyDescent="0.35">
      <c r="A230" s="6">
        <v>46093</v>
      </c>
      <c r="B230" s="7" t="s">
        <v>285</v>
      </c>
      <c r="C230" s="7" t="s">
        <v>60</v>
      </c>
      <c r="D230" s="7" t="s">
        <v>61</v>
      </c>
      <c r="E230" s="7" t="s">
        <v>42</v>
      </c>
      <c r="F230" s="8">
        <v>10</v>
      </c>
      <c r="G230" s="9">
        <v>3257.1</v>
      </c>
    </row>
    <row r="231" spans="1:7" x14ac:dyDescent="0.35">
      <c r="A231" s="6">
        <v>46093</v>
      </c>
      <c r="B231" s="7" t="s">
        <v>286</v>
      </c>
      <c r="C231" s="7" t="s">
        <v>47</v>
      </c>
      <c r="D231" s="7" t="s">
        <v>48</v>
      </c>
      <c r="E231" s="7" t="s">
        <v>42</v>
      </c>
      <c r="F231" s="8">
        <v>2</v>
      </c>
      <c r="G231" s="9">
        <v>116.82</v>
      </c>
    </row>
    <row r="232" spans="1:7" x14ac:dyDescent="0.35">
      <c r="A232" s="6">
        <v>46093</v>
      </c>
      <c r="B232" s="7" t="s">
        <v>287</v>
      </c>
      <c r="C232" s="7" t="s">
        <v>73</v>
      </c>
      <c r="D232" s="7" t="s">
        <v>74</v>
      </c>
      <c r="E232" s="7" t="s">
        <v>42</v>
      </c>
      <c r="F232" s="8">
        <v>4</v>
      </c>
      <c r="G232" s="9">
        <v>3956.04</v>
      </c>
    </row>
    <row r="233" spans="1:7" x14ac:dyDescent="0.35">
      <c r="A233" s="6">
        <v>46094</v>
      </c>
      <c r="B233" s="7" t="s">
        <v>288</v>
      </c>
      <c r="C233" s="7" t="s">
        <v>36</v>
      </c>
      <c r="D233" s="7" t="s">
        <v>37</v>
      </c>
      <c r="E233" s="7" t="s">
        <v>34</v>
      </c>
      <c r="F233" s="8">
        <v>3</v>
      </c>
      <c r="G233" s="9">
        <v>117</v>
      </c>
    </row>
    <row r="234" spans="1:7" x14ac:dyDescent="0.35">
      <c r="A234" s="6">
        <v>46094</v>
      </c>
      <c r="B234" s="7" t="s">
        <v>289</v>
      </c>
      <c r="C234" s="7" t="s">
        <v>55</v>
      </c>
      <c r="D234" s="7" t="s">
        <v>56</v>
      </c>
      <c r="E234" s="7" t="s">
        <v>42</v>
      </c>
      <c r="F234" s="8">
        <v>3</v>
      </c>
      <c r="G234" s="9">
        <v>264.33</v>
      </c>
    </row>
    <row r="235" spans="1:7" x14ac:dyDescent="0.35">
      <c r="A235" s="6">
        <v>46094</v>
      </c>
      <c r="B235" s="7" t="s">
        <v>290</v>
      </c>
      <c r="C235" s="7" t="s">
        <v>40</v>
      </c>
      <c r="D235" s="7" t="s">
        <v>41</v>
      </c>
      <c r="E235" s="7" t="s">
        <v>52</v>
      </c>
      <c r="F235" s="8">
        <v>3</v>
      </c>
      <c r="G235" s="9">
        <v>4113.0600000000004</v>
      </c>
    </row>
    <row r="236" spans="1:7" x14ac:dyDescent="0.35">
      <c r="A236" s="6">
        <v>46094</v>
      </c>
      <c r="B236" s="7" t="s">
        <v>291</v>
      </c>
      <c r="C236" s="7" t="s">
        <v>44</v>
      </c>
      <c r="D236" s="7" t="s">
        <v>45</v>
      </c>
      <c r="E236" s="7" t="s">
        <v>34</v>
      </c>
      <c r="F236" s="8">
        <v>3</v>
      </c>
      <c r="G236" s="9">
        <v>1647</v>
      </c>
    </row>
    <row r="237" spans="1:7" x14ac:dyDescent="0.35">
      <c r="A237" s="6">
        <v>46095</v>
      </c>
      <c r="B237" s="7" t="s">
        <v>292</v>
      </c>
      <c r="C237" s="7" t="s">
        <v>40</v>
      </c>
      <c r="D237" s="7" t="s">
        <v>41</v>
      </c>
      <c r="E237" s="7" t="s">
        <v>52</v>
      </c>
      <c r="F237" s="8">
        <v>6</v>
      </c>
      <c r="G237" s="9">
        <v>8226.1200000000008</v>
      </c>
    </row>
    <row r="238" spans="1:7" x14ac:dyDescent="0.35">
      <c r="A238" s="6">
        <v>46095</v>
      </c>
      <c r="B238" s="7" t="s">
        <v>293</v>
      </c>
      <c r="C238" s="7" t="s">
        <v>79</v>
      </c>
      <c r="D238" s="7" t="s">
        <v>80</v>
      </c>
      <c r="E238" s="7" t="s">
        <v>34</v>
      </c>
      <c r="F238" s="8">
        <v>5</v>
      </c>
      <c r="G238" s="9">
        <v>2245</v>
      </c>
    </row>
    <row r="239" spans="1:7" x14ac:dyDescent="0.35">
      <c r="A239" s="6">
        <v>46095</v>
      </c>
      <c r="B239" s="7" t="s">
        <v>294</v>
      </c>
      <c r="C239" s="7" t="s">
        <v>50</v>
      </c>
      <c r="D239" s="7" t="s">
        <v>51</v>
      </c>
      <c r="E239" s="7" t="s">
        <v>38</v>
      </c>
      <c r="F239" s="8">
        <v>2</v>
      </c>
      <c r="G239" s="9">
        <v>260.58</v>
      </c>
    </row>
    <row r="240" spans="1:7" x14ac:dyDescent="0.35">
      <c r="A240" s="6">
        <v>46096</v>
      </c>
      <c r="B240" s="7" t="s">
        <v>295</v>
      </c>
      <c r="C240" s="7" t="s">
        <v>36</v>
      </c>
      <c r="D240" s="7" t="s">
        <v>37</v>
      </c>
      <c r="E240" s="7" t="s">
        <v>52</v>
      </c>
      <c r="F240" s="8">
        <v>1</v>
      </c>
      <c r="G240" s="9">
        <v>38.22</v>
      </c>
    </row>
    <row r="241" spans="1:7" x14ac:dyDescent="0.35">
      <c r="A241" s="6">
        <v>46096</v>
      </c>
      <c r="B241" s="7" t="s">
        <v>296</v>
      </c>
      <c r="C241" s="7" t="s">
        <v>50</v>
      </c>
      <c r="D241" s="7" t="s">
        <v>51</v>
      </c>
      <c r="E241" s="7" t="s">
        <v>42</v>
      </c>
      <c r="F241" s="8">
        <v>6</v>
      </c>
      <c r="G241" s="9">
        <v>766.26</v>
      </c>
    </row>
    <row r="242" spans="1:7" x14ac:dyDescent="0.35">
      <c r="A242" s="6">
        <v>46097</v>
      </c>
      <c r="B242" s="7" t="s">
        <v>297</v>
      </c>
      <c r="C242" s="7" t="s">
        <v>83</v>
      </c>
      <c r="D242" s="7" t="s">
        <v>84</v>
      </c>
      <c r="E242" s="7" t="s">
        <v>52</v>
      </c>
      <c r="F242" s="8">
        <v>1</v>
      </c>
      <c r="G242" s="9">
        <v>116.62</v>
      </c>
    </row>
    <row r="243" spans="1:7" x14ac:dyDescent="0.35">
      <c r="A243" s="6">
        <v>46097</v>
      </c>
      <c r="B243" s="7" t="s">
        <v>298</v>
      </c>
      <c r="C243" s="7" t="s">
        <v>36</v>
      </c>
      <c r="D243" s="7" t="s">
        <v>37</v>
      </c>
      <c r="E243" s="7" t="s">
        <v>42</v>
      </c>
      <c r="F243" s="8">
        <v>6</v>
      </c>
      <c r="G243" s="9">
        <v>231.66</v>
      </c>
    </row>
    <row r="244" spans="1:7" x14ac:dyDescent="0.35">
      <c r="A244" s="6">
        <v>46097</v>
      </c>
      <c r="B244" s="7" t="s">
        <v>299</v>
      </c>
      <c r="C244" s="7" t="s">
        <v>50</v>
      </c>
      <c r="D244" s="7" t="s">
        <v>51</v>
      </c>
      <c r="E244" s="7" t="s">
        <v>52</v>
      </c>
      <c r="F244" s="8">
        <v>2</v>
      </c>
      <c r="G244" s="9">
        <v>252.84</v>
      </c>
    </row>
    <row r="245" spans="1:7" x14ac:dyDescent="0.35">
      <c r="A245" s="6">
        <v>46097</v>
      </c>
      <c r="B245" s="7" t="s">
        <v>300</v>
      </c>
      <c r="C245" s="7" t="s">
        <v>44</v>
      </c>
      <c r="D245" s="7" t="s">
        <v>45</v>
      </c>
      <c r="E245" s="7" t="s">
        <v>38</v>
      </c>
      <c r="F245" s="8">
        <v>10</v>
      </c>
      <c r="G245" s="9">
        <v>5544.9</v>
      </c>
    </row>
    <row r="246" spans="1:7" x14ac:dyDescent="0.35">
      <c r="A246" s="6">
        <v>46098</v>
      </c>
      <c r="B246" s="7" t="s">
        <v>301</v>
      </c>
      <c r="C246" s="7" t="s">
        <v>73</v>
      </c>
      <c r="D246" s="7" t="s">
        <v>74</v>
      </c>
      <c r="E246" s="7" t="s">
        <v>42</v>
      </c>
      <c r="F246" s="8">
        <v>2</v>
      </c>
      <c r="G246" s="9">
        <v>1978.02</v>
      </c>
    </row>
    <row r="247" spans="1:7" x14ac:dyDescent="0.35">
      <c r="A247" s="6">
        <v>46098</v>
      </c>
      <c r="B247" s="7" t="s">
        <v>302</v>
      </c>
      <c r="C247" s="7" t="s">
        <v>50</v>
      </c>
      <c r="D247" s="7" t="s">
        <v>51</v>
      </c>
      <c r="E247" s="7" t="s">
        <v>42</v>
      </c>
      <c r="F247" s="8">
        <v>2</v>
      </c>
      <c r="G247" s="9">
        <v>255.42</v>
      </c>
    </row>
    <row r="248" spans="1:7" x14ac:dyDescent="0.35">
      <c r="A248" s="6">
        <v>46098</v>
      </c>
      <c r="B248" s="7" t="s">
        <v>303</v>
      </c>
      <c r="C248" s="7" t="s">
        <v>76</v>
      </c>
      <c r="D248" s="7" t="s">
        <v>77</v>
      </c>
      <c r="E248" s="7" t="s">
        <v>34</v>
      </c>
      <c r="F248" s="8">
        <v>3</v>
      </c>
      <c r="G248" s="9">
        <v>2097</v>
      </c>
    </row>
    <row r="249" spans="1:7" x14ac:dyDescent="0.35">
      <c r="A249" s="6">
        <v>46098</v>
      </c>
      <c r="B249" s="7" t="s">
        <v>304</v>
      </c>
      <c r="C249" s="7" t="s">
        <v>50</v>
      </c>
      <c r="D249" s="7" t="s">
        <v>51</v>
      </c>
      <c r="E249" s="7" t="s">
        <v>34</v>
      </c>
      <c r="F249" s="8">
        <v>4</v>
      </c>
      <c r="G249" s="9">
        <v>516</v>
      </c>
    </row>
    <row r="250" spans="1:7" x14ac:dyDescent="0.35">
      <c r="A250" s="6">
        <v>46099</v>
      </c>
      <c r="B250" s="7" t="s">
        <v>305</v>
      </c>
      <c r="C250" s="7" t="s">
        <v>36</v>
      </c>
      <c r="D250" s="7" t="s">
        <v>37</v>
      </c>
      <c r="E250" s="7" t="s">
        <v>38</v>
      </c>
      <c r="F250" s="8">
        <v>4</v>
      </c>
      <c r="G250" s="9">
        <v>157.56</v>
      </c>
    </row>
    <row r="251" spans="1:7" x14ac:dyDescent="0.35">
      <c r="A251" s="6">
        <v>46099</v>
      </c>
      <c r="B251" s="7" t="s">
        <v>306</v>
      </c>
      <c r="C251" s="7" t="s">
        <v>60</v>
      </c>
      <c r="D251" s="7" t="s">
        <v>61</v>
      </c>
      <c r="E251" s="7" t="s">
        <v>38</v>
      </c>
      <c r="F251" s="8">
        <v>5</v>
      </c>
      <c r="G251" s="9">
        <v>1661.45</v>
      </c>
    </row>
    <row r="252" spans="1:7" x14ac:dyDescent="0.35">
      <c r="A252" s="6">
        <v>46099</v>
      </c>
      <c r="B252" s="7" t="s">
        <v>307</v>
      </c>
      <c r="C252" s="7" t="s">
        <v>55</v>
      </c>
      <c r="D252" s="7" t="s">
        <v>56</v>
      </c>
      <c r="E252" s="7" t="s">
        <v>42</v>
      </c>
      <c r="F252" s="8">
        <v>1</v>
      </c>
      <c r="G252" s="9">
        <v>88.11</v>
      </c>
    </row>
    <row r="253" spans="1:7" x14ac:dyDescent="0.35">
      <c r="A253" s="6">
        <v>46100</v>
      </c>
      <c r="B253" s="7" t="s">
        <v>308</v>
      </c>
      <c r="C253" s="7" t="s">
        <v>50</v>
      </c>
      <c r="D253" s="7" t="s">
        <v>51</v>
      </c>
      <c r="E253" s="7" t="s">
        <v>52</v>
      </c>
      <c r="F253" s="8">
        <v>5</v>
      </c>
      <c r="G253" s="9">
        <v>632.1</v>
      </c>
    </row>
    <row r="254" spans="1:7" x14ac:dyDescent="0.35">
      <c r="A254" s="6">
        <v>46100</v>
      </c>
      <c r="B254" s="7" t="s">
        <v>309</v>
      </c>
      <c r="C254" s="7" t="s">
        <v>79</v>
      </c>
      <c r="D254" s="7" t="s">
        <v>80</v>
      </c>
      <c r="E254" s="7" t="s">
        <v>42</v>
      </c>
      <c r="F254" s="8">
        <v>2</v>
      </c>
      <c r="G254" s="9">
        <v>889.02</v>
      </c>
    </row>
    <row r="255" spans="1:7" x14ac:dyDescent="0.35">
      <c r="A255" s="6">
        <v>46100</v>
      </c>
      <c r="B255" s="7" t="s">
        <v>310</v>
      </c>
      <c r="C255" s="7" t="s">
        <v>36</v>
      </c>
      <c r="D255" s="7" t="s">
        <v>37</v>
      </c>
      <c r="E255" s="7" t="s">
        <v>42</v>
      </c>
      <c r="F255" s="8">
        <v>3</v>
      </c>
      <c r="G255" s="9">
        <v>115.83</v>
      </c>
    </row>
    <row r="256" spans="1:7" x14ac:dyDescent="0.35">
      <c r="A256" s="6">
        <v>46100</v>
      </c>
      <c r="B256" s="7" t="s">
        <v>311</v>
      </c>
      <c r="C256" s="7" t="s">
        <v>73</v>
      </c>
      <c r="D256" s="7" t="s">
        <v>74</v>
      </c>
      <c r="E256" s="7" t="s">
        <v>42</v>
      </c>
      <c r="F256" s="8">
        <v>8</v>
      </c>
      <c r="G256" s="9">
        <v>7912.08</v>
      </c>
    </row>
    <row r="257" spans="1:7" x14ac:dyDescent="0.35">
      <c r="A257" s="6">
        <v>46101</v>
      </c>
      <c r="B257" s="7" t="s">
        <v>312</v>
      </c>
      <c r="C257" s="7" t="s">
        <v>47</v>
      </c>
      <c r="D257" s="7" t="s">
        <v>48</v>
      </c>
      <c r="E257" s="7" t="s">
        <v>38</v>
      </c>
      <c r="F257" s="8">
        <v>5</v>
      </c>
      <c r="G257" s="9">
        <v>297.95</v>
      </c>
    </row>
    <row r="258" spans="1:7" x14ac:dyDescent="0.35">
      <c r="A258" s="6">
        <v>46101</v>
      </c>
      <c r="B258" s="7" t="s">
        <v>313</v>
      </c>
      <c r="C258" s="7" t="s">
        <v>83</v>
      </c>
      <c r="D258" s="7" t="s">
        <v>84</v>
      </c>
      <c r="E258" s="7" t="s">
        <v>52</v>
      </c>
      <c r="F258" s="8">
        <v>2</v>
      </c>
      <c r="G258" s="9">
        <v>233.24</v>
      </c>
    </row>
    <row r="259" spans="1:7" x14ac:dyDescent="0.35">
      <c r="A259" s="6">
        <v>46101</v>
      </c>
      <c r="B259" s="7" t="s">
        <v>314</v>
      </c>
      <c r="C259" s="7" t="s">
        <v>76</v>
      </c>
      <c r="D259" s="7" t="s">
        <v>77</v>
      </c>
      <c r="E259" s="7" t="s">
        <v>38</v>
      </c>
      <c r="F259" s="8">
        <v>4</v>
      </c>
      <c r="G259" s="9">
        <v>2823.96</v>
      </c>
    </row>
    <row r="260" spans="1:7" x14ac:dyDescent="0.35">
      <c r="A260" s="6">
        <v>46102</v>
      </c>
      <c r="B260" s="7" t="s">
        <v>315</v>
      </c>
      <c r="C260" s="7" t="s">
        <v>32</v>
      </c>
      <c r="D260" s="7" t="s">
        <v>33</v>
      </c>
      <c r="E260" s="7" t="s">
        <v>34</v>
      </c>
      <c r="F260" s="8">
        <v>3</v>
      </c>
      <c r="G260" s="9">
        <v>3597</v>
      </c>
    </row>
    <row r="261" spans="1:7" x14ac:dyDescent="0.35">
      <c r="A261" s="6">
        <v>46102</v>
      </c>
      <c r="B261" s="7" t="s">
        <v>316</v>
      </c>
      <c r="C261" s="7" t="s">
        <v>55</v>
      </c>
      <c r="D261" s="7" t="s">
        <v>56</v>
      </c>
      <c r="E261" s="7" t="s">
        <v>52</v>
      </c>
      <c r="F261" s="8">
        <v>4</v>
      </c>
      <c r="G261" s="9">
        <v>348.88</v>
      </c>
    </row>
    <row r="262" spans="1:7" x14ac:dyDescent="0.35">
      <c r="A262" s="6">
        <v>46102</v>
      </c>
      <c r="B262" s="7" t="s">
        <v>317</v>
      </c>
      <c r="C262" s="7" t="s">
        <v>79</v>
      </c>
      <c r="D262" s="7" t="s">
        <v>80</v>
      </c>
      <c r="E262" s="7" t="s">
        <v>34</v>
      </c>
      <c r="F262" s="8">
        <v>3</v>
      </c>
      <c r="G262" s="9">
        <v>1347</v>
      </c>
    </row>
    <row r="263" spans="1:7" x14ac:dyDescent="0.35">
      <c r="A263" s="6">
        <v>46103</v>
      </c>
      <c r="B263" s="7" t="s">
        <v>318</v>
      </c>
      <c r="C263" s="7" t="s">
        <v>79</v>
      </c>
      <c r="D263" s="7" t="s">
        <v>80</v>
      </c>
      <c r="E263" s="7" t="s">
        <v>38</v>
      </c>
      <c r="F263" s="8">
        <v>6</v>
      </c>
      <c r="G263" s="9">
        <v>2720.94</v>
      </c>
    </row>
    <row r="264" spans="1:7" x14ac:dyDescent="0.35">
      <c r="A264" s="6">
        <v>46103</v>
      </c>
      <c r="B264" s="7" t="s">
        <v>319</v>
      </c>
      <c r="C264" s="7" t="s">
        <v>32</v>
      </c>
      <c r="D264" s="7" t="s">
        <v>33</v>
      </c>
      <c r="E264" s="7" t="s">
        <v>52</v>
      </c>
      <c r="F264" s="8">
        <v>2</v>
      </c>
      <c r="G264" s="9">
        <v>2350.04</v>
      </c>
    </row>
    <row r="265" spans="1:7" x14ac:dyDescent="0.35">
      <c r="A265" s="6">
        <v>46103</v>
      </c>
      <c r="B265" s="7" t="s">
        <v>320</v>
      </c>
      <c r="C265" s="7" t="s">
        <v>60</v>
      </c>
      <c r="D265" s="7" t="s">
        <v>61</v>
      </c>
      <c r="E265" s="7" t="s">
        <v>34</v>
      </c>
      <c r="F265" s="8">
        <v>3</v>
      </c>
      <c r="G265" s="9">
        <v>987</v>
      </c>
    </row>
    <row r="266" spans="1:7" x14ac:dyDescent="0.35">
      <c r="A266" s="6">
        <v>46104</v>
      </c>
      <c r="B266" s="7" t="s">
        <v>321</v>
      </c>
      <c r="C266" s="7" t="s">
        <v>36</v>
      </c>
      <c r="D266" s="7" t="s">
        <v>37</v>
      </c>
      <c r="E266" s="7" t="s">
        <v>34</v>
      </c>
      <c r="F266" s="8">
        <v>1</v>
      </c>
      <c r="G266" s="9">
        <v>39</v>
      </c>
    </row>
    <row r="267" spans="1:7" x14ac:dyDescent="0.35">
      <c r="A267" s="6">
        <v>46104</v>
      </c>
      <c r="B267" s="7" t="s">
        <v>322</v>
      </c>
      <c r="C267" s="7" t="s">
        <v>83</v>
      </c>
      <c r="D267" s="7" t="s">
        <v>84</v>
      </c>
      <c r="E267" s="7" t="s">
        <v>38</v>
      </c>
      <c r="F267" s="8">
        <v>1</v>
      </c>
      <c r="G267" s="9">
        <v>120.19</v>
      </c>
    </row>
    <row r="268" spans="1:7" x14ac:dyDescent="0.35">
      <c r="A268" s="6">
        <v>46104</v>
      </c>
      <c r="B268" s="7" t="s">
        <v>323</v>
      </c>
      <c r="C268" s="7" t="s">
        <v>55</v>
      </c>
      <c r="D268" s="7" t="s">
        <v>56</v>
      </c>
      <c r="E268" s="7" t="s">
        <v>34</v>
      </c>
      <c r="F268" s="8">
        <v>2</v>
      </c>
      <c r="G268" s="9">
        <v>178</v>
      </c>
    </row>
    <row r="269" spans="1:7" x14ac:dyDescent="0.35">
      <c r="A269" s="6">
        <v>46104</v>
      </c>
      <c r="B269" s="7" t="s">
        <v>324</v>
      </c>
      <c r="C269" s="7" t="s">
        <v>44</v>
      </c>
      <c r="D269" s="7" t="s">
        <v>45</v>
      </c>
      <c r="E269" s="7" t="s">
        <v>34</v>
      </c>
      <c r="F269" s="8">
        <v>1</v>
      </c>
      <c r="G269" s="9">
        <v>549</v>
      </c>
    </row>
    <row r="270" spans="1:7" x14ac:dyDescent="0.35">
      <c r="A270" s="6">
        <v>46105</v>
      </c>
      <c r="B270" s="7" t="s">
        <v>325</v>
      </c>
      <c r="C270" s="7" t="s">
        <v>83</v>
      </c>
      <c r="D270" s="7" t="s">
        <v>84</v>
      </c>
      <c r="E270" s="7" t="s">
        <v>38</v>
      </c>
      <c r="F270" s="8">
        <v>1</v>
      </c>
      <c r="G270" s="9">
        <v>120.19</v>
      </c>
    </row>
    <row r="271" spans="1:7" x14ac:dyDescent="0.35">
      <c r="A271" s="6">
        <v>46105</v>
      </c>
      <c r="B271" s="7" t="s">
        <v>326</v>
      </c>
      <c r="C271" s="7" t="s">
        <v>79</v>
      </c>
      <c r="D271" s="7" t="s">
        <v>80</v>
      </c>
      <c r="E271" s="7" t="s">
        <v>42</v>
      </c>
      <c r="F271" s="8">
        <v>3</v>
      </c>
      <c r="G271" s="9">
        <v>1333.53</v>
      </c>
    </row>
    <row r="272" spans="1:7" x14ac:dyDescent="0.35">
      <c r="A272" s="6">
        <v>46105</v>
      </c>
      <c r="B272" s="7" t="s">
        <v>327</v>
      </c>
      <c r="C272" s="7" t="s">
        <v>47</v>
      </c>
      <c r="D272" s="7" t="s">
        <v>48</v>
      </c>
      <c r="E272" s="7" t="s">
        <v>42</v>
      </c>
      <c r="F272" s="8">
        <v>1</v>
      </c>
      <c r="G272" s="9">
        <v>58.41</v>
      </c>
    </row>
    <row r="273" spans="1:7" x14ac:dyDescent="0.35">
      <c r="A273" s="6">
        <v>46105</v>
      </c>
      <c r="B273" s="7" t="s">
        <v>328</v>
      </c>
      <c r="C273" s="7" t="s">
        <v>83</v>
      </c>
      <c r="D273" s="7" t="s">
        <v>84</v>
      </c>
      <c r="E273" s="7" t="s">
        <v>34</v>
      </c>
      <c r="F273" s="8">
        <v>2</v>
      </c>
      <c r="G273" s="9">
        <v>238</v>
      </c>
    </row>
    <row r="274" spans="1:7" x14ac:dyDescent="0.35">
      <c r="A274" s="6">
        <v>46106</v>
      </c>
      <c r="B274" s="7" t="s">
        <v>329</v>
      </c>
      <c r="C274" s="7" t="s">
        <v>44</v>
      </c>
      <c r="D274" s="7" t="s">
        <v>45</v>
      </c>
      <c r="E274" s="7" t="s">
        <v>38</v>
      </c>
      <c r="F274" s="8">
        <v>3</v>
      </c>
      <c r="G274" s="9">
        <v>1663.47</v>
      </c>
    </row>
    <row r="275" spans="1:7" x14ac:dyDescent="0.35">
      <c r="A275" s="6">
        <v>46106</v>
      </c>
      <c r="B275" s="7" t="s">
        <v>330</v>
      </c>
      <c r="C275" s="7" t="s">
        <v>55</v>
      </c>
      <c r="D275" s="7" t="s">
        <v>56</v>
      </c>
      <c r="E275" s="7" t="s">
        <v>42</v>
      </c>
      <c r="F275" s="8">
        <v>8</v>
      </c>
      <c r="G275" s="9">
        <v>704.88</v>
      </c>
    </row>
    <row r="276" spans="1:7" x14ac:dyDescent="0.35">
      <c r="A276" s="6">
        <v>46106</v>
      </c>
      <c r="B276" s="7" t="s">
        <v>331</v>
      </c>
      <c r="C276" s="7" t="s">
        <v>47</v>
      </c>
      <c r="D276" s="7" t="s">
        <v>48</v>
      </c>
      <c r="E276" s="7" t="s">
        <v>34</v>
      </c>
      <c r="F276" s="8">
        <v>3</v>
      </c>
      <c r="G276" s="9">
        <v>177</v>
      </c>
    </row>
    <row r="277" spans="1:7" x14ac:dyDescent="0.35">
      <c r="A277" s="6">
        <v>46106</v>
      </c>
      <c r="B277" s="7" t="s">
        <v>332</v>
      </c>
      <c r="C277" s="7" t="s">
        <v>47</v>
      </c>
      <c r="D277" s="7" t="s">
        <v>48</v>
      </c>
      <c r="E277" s="7" t="s">
        <v>38</v>
      </c>
      <c r="F277" s="8">
        <v>1</v>
      </c>
      <c r="G277" s="9">
        <v>59.59</v>
      </c>
    </row>
    <row r="278" spans="1:7" x14ac:dyDescent="0.35">
      <c r="A278" s="6">
        <v>46107</v>
      </c>
      <c r="B278" s="7" t="s">
        <v>333</v>
      </c>
      <c r="C278" s="7" t="s">
        <v>50</v>
      </c>
      <c r="D278" s="7" t="s">
        <v>51</v>
      </c>
      <c r="E278" s="7" t="s">
        <v>52</v>
      </c>
      <c r="F278" s="8">
        <v>2</v>
      </c>
      <c r="G278" s="9">
        <v>252.84</v>
      </c>
    </row>
    <row r="279" spans="1:7" x14ac:dyDescent="0.35">
      <c r="A279" s="6">
        <v>46107</v>
      </c>
      <c r="B279" s="7" t="s">
        <v>334</v>
      </c>
      <c r="C279" s="7" t="s">
        <v>36</v>
      </c>
      <c r="D279" s="7" t="s">
        <v>37</v>
      </c>
      <c r="E279" s="7" t="s">
        <v>38</v>
      </c>
      <c r="F279" s="8">
        <v>2</v>
      </c>
      <c r="G279" s="9">
        <v>78.78</v>
      </c>
    </row>
    <row r="280" spans="1:7" x14ac:dyDescent="0.35">
      <c r="A280" s="6">
        <v>46107</v>
      </c>
      <c r="B280" s="7" t="s">
        <v>335</v>
      </c>
      <c r="C280" s="7" t="s">
        <v>47</v>
      </c>
      <c r="D280" s="7" t="s">
        <v>48</v>
      </c>
      <c r="E280" s="7" t="s">
        <v>38</v>
      </c>
      <c r="F280" s="8">
        <v>3</v>
      </c>
      <c r="G280" s="9">
        <v>178.77</v>
      </c>
    </row>
    <row r="281" spans="1:7" x14ac:dyDescent="0.35">
      <c r="A281" s="6">
        <v>46107</v>
      </c>
      <c r="B281" s="7" t="s">
        <v>336</v>
      </c>
      <c r="C281" s="7" t="s">
        <v>36</v>
      </c>
      <c r="D281" s="7" t="s">
        <v>37</v>
      </c>
      <c r="E281" s="7" t="s">
        <v>38</v>
      </c>
      <c r="F281" s="8">
        <v>5</v>
      </c>
      <c r="G281" s="9">
        <v>196.95</v>
      </c>
    </row>
    <row r="282" spans="1:7" x14ac:dyDescent="0.35">
      <c r="A282" s="6">
        <v>46108</v>
      </c>
      <c r="B282" s="7" t="s">
        <v>337</v>
      </c>
      <c r="C282" s="7" t="s">
        <v>83</v>
      </c>
      <c r="D282" s="7" t="s">
        <v>84</v>
      </c>
      <c r="E282" s="7" t="s">
        <v>38</v>
      </c>
      <c r="F282" s="8">
        <v>2</v>
      </c>
      <c r="G282" s="9">
        <v>240.38</v>
      </c>
    </row>
    <row r="283" spans="1:7" x14ac:dyDescent="0.35">
      <c r="A283" s="6">
        <v>46108</v>
      </c>
      <c r="B283" s="7" t="s">
        <v>338</v>
      </c>
      <c r="C283" s="7" t="s">
        <v>79</v>
      </c>
      <c r="D283" s="7" t="s">
        <v>80</v>
      </c>
      <c r="E283" s="7" t="s">
        <v>38</v>
      </c>
      <c r="F283" s="8">
        <v>4</v>
      </c>
      <c r="G283" s="9">
        <v>1813.96</v>
      </c>
    </row>
    <row r="284" spans="1:7" x14ac:dyDescent="0.35">
      <c r="A284" s="6">
        <v>46108</v>
      </c>
      <c r="B284" s="7" t="s">
        <v>339</v>
      </c>
      <c r="C284" s="7" t="s">
        <v>40</v>
      </c>
      <c r="D284" s="7" t="s">
        <v>41</v>
      </c>
      <c r="E284" s="7" t="s">
        <v>42</v>
      </c>
      <c r="F284" s="8">
        <v>4</v>
      </c>
      <c r="G284" s="9">
        <v>5540.04</v>
      </c>
    </row>
    <row r="285" spans="1:7" x14ac:dyDescent="0.35">
      <c r="A285" s="6">
        <v>46108</v>
      </c>
      <c r="B285" s="7" t="s">
        <v>340</v>
      </c>
      <c r="C285" s="7" t="s">
        <v>73</v>
      </c>
      <c r="D285" s="7" t="s">
        <v>74</v>
      </c>
      <c r="E285" s="7" t="s">
        <v>34</v>
      </c>
      <c r="F285" s="8">
        <v>3</v>
      </c>
      <c r="G285" s="9">
        <v>2997</v>
      </c>
    </row>
    <row r="286" spans="1:7" x14ac:dyDescent="0.35">
      <c r="A286" s="6">
        <v>46109</v>
      </c>
      <c r="B286" s="7" t="s">
        <v>341</v>
      </c>
      <c r="C286" s="7" t="s">
        <v>50</v>
      </c>
      <c r="D286" s="7" t="s">
        <v>51</v>
      </c>
      <c r="E286" s="7" t="s">
        <v>52</v>
      </c>
      <c r="F286" s="8">
        <v>5</v>
      </c>
      <c r="G286" s="9">
        <v>632.1</v>
      </c>
    </row>
    <row r="287" spans="1:7" x14ac:dyDescent="0.35">
      <c r="A287" s="6">
        <v>46109</v>
      </c>
      <c r="B287" s="7" t="s">
        <v>342</v>
      </c>
      <c r="C287" s="7" t="s">
        <v>44</v>
      </c>
      <c r="D287" s="7" t="s">
        <v>45</v>
      </c>
      <c r="E287" s="7" t="s">
        <v>52</v>
      </c>
      <c r="F287" s="8">
        <v>2</v>
      </c>
      <c r="G287" s="9">
        <v>1076.04</v>
      </c>
    </row>
    <row r="288" spans="1:7" x14ac:dyDescent="0.35">
      <c r="A288" s="6">
        <v>46109</v>
      </c>
      <c r="B288" s="7" t="s">
        <v>343</v>
      </c>
      <c r="C288" s="7" t="s">
        <v>36</v>
      </c>
      <c r="D288" s="7" t="s">
        <v>37</v>
      </c>
      <c r="E288" s="7" t="s">
        <v>38</v>
      </c>
      <c r="F288" s="8">
        <v>2</v>
      </c>
      <c r="G288" s="9">
        <v>78.78</v>
      </c>
    </row>
    <row r="289" spans="1:7" x14ac:dyDescent="0.35">
      <c r="A289" s="6">
        <v>46110</v>
      </c>
      <c r="B289" s="7" t="s">
        <v>344</v>
      </c>
      <c r="C289" s="7" t="s">
        <v>55</v>
      </c>
      <c r="D289" s="7" t="s">
        <v>56</v>
      </c>
      <c r="E289" s="7" t="s">
        <v>34</v>
      </c>
      <c r="F289" s="8">
        <v>8</v>
      </c>
      <c r="G289" s="9">
        <v>712</v>
      </c>
    </row>
    <row r="290" spans="1:7" x14ac:dyDescent="0.35">
      <c r="A290" s="6">
        <v>46110</v>
      </c>
      <c r="B290" s="7" t="s">
        <v>345</v>
      </c>
      <c r="C290" s="7" t="s">
        <v>83</v>
      </c>
      <c r="D290" s="7" t="s">
        <v>84</v>
      </c>
      <c r="E290" s="7" t="s">
        <v>38</v>
      </c>
      <c r="F290" s="8">
        <v>8</v>
      </c>
      <c r="G290" s="9">
        <v>961.52</v>
      </c>
    </row>
    <row r="291" spans="1:7" x14ac:dyDescent="0.35">
      <c r="A291" s="6">
        <v>46111</v>
      </c>
      <c r="B291" s="7" t="s">
        <v>346</v>
      </c>
      <c r="C291" s="7" t="s">
        <v>36</v>
      </c>
      <c r="D291" s="7" t="s">
        <v>37</v>
      </c>
      <c r="E291" s="7" t="s">
        <v>42</v>
      </c>
      <c r="F291" s="8">
        <v>4</v>
      </c>
      <c r="G291" s="9">
        <v>154.44</v>
      </c>
    </row>
    <row r="292" spans="1:7" x14ac:dyDescent="0.35">
      <c r="A292" s="6">
        <v>46111</v>
      </c>
      <c r="B292" s="7" t="s">
        <v>347</v>
      </c>
      <c r="C292" s="7" t="s">
        <v>32</v>
      </c>
      <c r="D292" s="7" t="s">
        <v>33</v>
      </c>
      <c r="E292" s="7" t="s">
        <v>42</v>
      </c>
      <c r="F292" s="8">
        <v>2</v>
      </c>
      <c r="G292" s="9">
        <v>2374.02</v>
      </c>
    </row>
    <row r="293" spans="1:7" x14ac:dyDescent="0.35">
      <c r="A293" s="6">
        <v>46111</v>
      </c>
      <c r="B293" s="7" t="s">
        <v>348</v>
      </c>
      <c r="C293" s="7" t="s">
        <v>47</v>
      </c>
      <c r="D293" s="7" t="s">
        <v>48</v>
      </c>
      <c r="E293" s="7" t="s">
        <v>38</v>
      </c>
      <c r="F293" s="8">
        <v>3</v>
      </c>
      <c r="G293" s="9">
        <v>178.77</v>
      </c>
    </row>
    <row r="294" spans="1:7" x14ac:dyDescent="0.35">
      <c r="A294" s="6">
        <v>46111</v>
      </c>
      <c r="B294" s="7" t="s">
        <v>349</v>
      </c>
      <c r="C294" s="7" t="s">
        <v>36</v>
      </c>
      <c r="D294" s="7" t="s">
        <v>37</v>
      </c>
      <c r="E294" s="7" t="s">
        <v>52</v>
      </c>
      <c r="F294" s="8">
        <v>1</v>
      </c>
      <c r="G294" s="9">
        <v>38.22</v>
      </c>
    </row>
    <row r="295" spans="1:7" x14ac:dyDescent="0.35">
      <c r="A295" s="6">
        <v>46112</v>
      </c>
      <c r="B295" s="7" t="s">
        <v>350</v>
      </c>
      <c r="C295" s="7" t="s">
        <v>32</v>
      </c>
      <c r="D295" s="7" t="s">
        <v>33</v>
      </c>
      <c r="E295" s="7" t="s">
        <v>52</v>
      </c>
      <c r="F295" s="8">
        <v>3</v>
      </c>
      <c r="G295" s="9">
        <v>3525.06</v>
      </c>
    </row>
    <row r="296" spans="1:7" x14ac:dyDescent="0.35">
      <c r="A296" s="6">
        <v>46112</v>
      </c>
      <c r="B296" s="7" t="s">
        <v>351</v>
      </c>
      <c r="C296" s="7" t="s">
        <v>55</v>
      </c>
      <c r="D296" s="7" t="s">
        <v>56</v>
      </c>
      <c r="E296" s="7" t="s">
        <v>34</v>
      </c>
      <c r="F296" s="8">
        <v>1</v>
      </c>
      <c r="G296" s="9">
        <v>89</v>
      </c>
    </row>
    <row r="297" spans="1:7" x14ac:dyDescent="0.35">
      <c r="A297" s="6">
        <v>46112</v>
      </c>
      <c r="B297" s="7" t="s">
        <v>352</v>
      </c>
      <c r="C297" s="7" t="s">
        <v>36</v>
      </c>
      <c r="D297" s="7" t="s">
        <v>37</v>
      </c>
      <c r="E297" s="7" t="s">
        <v>52</v>
      </c>
      <c r="F297" s="8">
        <v>2</v>
      </c>
      <c r="G297" s="9">
        <v>76.44</v>
      </c>
    </row>
  </sheetData>
  <mergeCells count="1">
    <mergeCell ref="A1:G1"/>
  </mergeCells>
  <conditionalFormatting sqref="B1:B1048576">
    <cfRule type="duplicateValues" dxfId="35" priority="1"/>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70"/>
  <sheetViews>
    <sheetView showGridLines="0" workbookViewId="0">
      <selection activeCell="H8" sqref="H8"/>
    </sheetView>
  </sheetViews>
  <sheetFormatPr defaultRowHeight="14.5" x14ac:dyDescent="0.35"/>
  <cols>
    <col min="1" max="1" width="13" customWidth="1"/>
    <col min="2" max="2" width="7" customWidth="1"/>
    <col min="3" max="3" width="11" customWidth="1"/>
    <col min="4" max="5" width="15" customWidth="1"/>
  </cols>
  <sheetData>
    <row r="1" spans="1:5" ht="18.5" x14ac:dyDescent="0.45">
      <c r="A1" s="58" t="s">
        <v>353</v>
      </c>
      <c r="B1" s="55"/>
      <c r="C1" s="55"/>
      <c r="D1" s="55"/>
      <c r="E1" s="55"/>
    </row>
    <row r="2" spans="1:5" x14ac:dyDescent="0.35">
      <c r="A2" s="4" t="s">
        <v>24</v>
      </c>
      <c r="B2" s="4" t="s">
        <v>26</v>
      </c>
      <c r="C2" s="4" t="s">
        <v>354</v>
      </c>
      <c r="D2" s="4" t="s">
        <v>355</v>
      </c>
      <c r="E2" s="4" t="s">
        <v>356</v>
      </c>
    </row>
    <row r="3" spans="1:5" x14ac:dyDescent="0.35">
      <c r="A3" s="6">
        <v>46023</v>
      </c>
      <c r="B3" s="7" t="s">
        <v>32</v>
      </c>
      <c r="C3" s="7" t="s">
        <v>357</v>
      </c>
      <c r="D3" s="8">
        <v>26</v>
      </c>
      <c r="E3" s="8">
        <v>8</v>
      </c>
    </row>
    <row r="4" spans="1:5" x14ac:dyDescent="0.35">
      <c r="A4" s="6">
        <v>46023</v>
      </c>
      <c r="B4" s="7" t="s">
        <v>40</v>
      </c>
      <c r="C4" s="7" t="s">
        <v>357</v>
      </c>
      <c r="D4" s="8">
        <v>20</v>
      </c>
      <c r="E4" s="8">
        <v>8</v>
      </c>
    </row>
    <row r="5" spans="1:5" x14ac:dyDescent="0.35">
      <c r="A5" s="6">
        <v>46023</v>
      </c>
      <c r="B5" s="7" t="s">
        <v>73</v>
      </c>
      <c r="C5" s="7" t="s">
        <v>357</v>
      </c>
      <c r="D5" s="8">
        <v>42</v>
      </c>
      <c r="E5" s="8">
        <v>12</v>
      </c>
    </row>
    <row r="6" spans="1:5" x14ac:dyDescent="0.35">
      <c r="A6" s="6">
        <v>46023</v>
      </c>
      <c r="B6" s="7" t="s">
        <v>44</v>
      </c>
      <c r="C6" s="7" t="s">
        <v>357</v>
      </c>
      <c r="D6" s="8">
        <v>22</v>
      </c>
      <c r="E6" s="8">
        <v>12</v>
      </c>
    </row>
    <row r="7" spans="1:5" x14ac:dyDescent="0.35">
      <c r="A7" s="6">
        <v>46023</v>
      </c>
      <c r="B7" s="7" t="s">
        <v>76</v>
      </c>
      <c r="C7" s="7" t="s">
        <v>357</v>
      </c>
      <c r="D7" s="8">
        <v>26</v>
      </c>
      <c r="E7" s="8">
        <v>7</v>
      </c>
    </row>
    <row r="8" spans="1:5" x14ac:dyDescent="0.35">
      <c r="A8" s="6">
        <v>46023</v>
      </c>
      <c r="B8" s="7" t="s">
        <v>60</v>
      </c>
      <c r="C8" s="7" t="s">
        <v>357</v>
      </c>
      <c r="D8" s="8">
        <v>30</v>
      </c>
      <c r="E8" s="8">
        <v>10</v>
      </c>
    </row>
    <row r="9" spans="1:5" x14ac:dyDescent="0.35">
      <c r="A9" s="6">
        <v>46023</v>
      </c>
      <c r="B9" s="7" t="s">
        <v>79</v>
      </c>
      <c r="C9" s="7" t="s">
        <v>357</v>
      </c>
      <c r="D9" s="8">
        <v>37</v>
      </c>
      <c r="E9" s="8">
        <v>10</v>
      </c>
    </row>
    <row r="10" spans="1:5" x14ac:dyDescent="0.35">
      <c r="A10" s="6">
        <v>46023</v>
      </c>
      <c r="B10" s="7" t="s">
        <v>50</v>
      </c>
      <c r="C10" s="7" t="s">
        <v>357</v>
      </c>
      <c r="D10" s="8">
        <v>92</v>
      </c>
      <c r="E10" s="8">
        <v>18</v>
      </c>
    </row>
    <row r="11" spans="1:5" x14ac:dyDescent="0.35">
      <c r="A11" s="6">
        <v>46023</v>
      </c>
      <c r="B11" s="7" t="s">
        <v>47</v>
      </c>
      <c r="C11" s="7" t="s">
        <v>357</v>
      </c>
      <c r="D11" s="8">
        <v>47</v>
      </c>
      <c r="E11" s="8">
        <v>18</v>
      </c>
    </row>
    <row r="12" spans="1:5" x14ac:dyDescent="0.35">
      <c r="A12" s="6">
        <v>46023</v>
      </c>
      <c r="B12" s="7" t="s">
        <v>36</v>
      </c>
      <c r="C12" s="7" t="s">
        <v>357</v>
      </c>
      <c r="D12" s="8">
        <v>41</v>
      </c>
      <c r="E12" s="8">
        <v>18</v>
      </c>
    </row>
    <row r="13" spans="1:5" x14ac:dyDescent="0.35">
      <c r="A13" s="6">
        <v>46023</v>
      </c>
      <c r="B13" s="7" t="s">
        <v>83</v>
      </c>
      <c r="C13" s="7" t="s">
        <v>357</v>
      </c>
      <c r="D13" s="8">
        <v>33</v>
      </c>
      <c r="E13" s="8">
        <v>14</v>
      </c>
    </row>
    <row r="14" spans="1:5" x14ac:dyDescent="0.35">
      <c r="A14" s="6">
        <v>46023</v>
      </c>
      <c r="B14" s="7" t="s">
        <v>55</v>
      </c>
      <c r="C14" s="7" t="s">
        <v>357</v>
      </c>
      <c r="D14" s="8">
        <v>54</v>
      </c>
      <c r="E14" s="8">
        <v>14</v>
      </c>
    </row>
    <row r="15" spans="1:5" x14ac:dyDescent="0.35">
      <c r="A15" s="6">
        <v>46023</v>
      </c>
      <c r="B15" s="7" t="s">
        <v>32</v>
      </c>
      <c r="C15" s="7" t="s">
        <v>358</v>
      </c>
      <c r="D15" s="8">
        <v>30</v>
      </c>
      <c r="E15" s="8">
        <v>8</v>
      </c>
    </row>
    <row r="16" spans="1:5" x14ac:dyDescent="0.35">
      <c r="A16" s="6">
        <v>46023</v>
      </c>
      <c r="B16" s="7" t="s">
        <v>40</v>
      </c>
      <c r="C16" s="7" t="s">
        <v>358</v>
      </c>
      <c r="D16" s="8">
        <v>13</v>
      </c>
      <c r="E16" s="8">
        <v>8</v>
      </c>
    </row>
    <row r="17" spans="1:5" x14ac:dyDescent="0.35">
      <c r="A17" s="6">
        <v>46023</v>
      </c>
      <c r="B17" s="7" t="s">
        <v>73</v>
      </c>
      <c r="C17" s="7" t="s">
        <v>358</v>
      </c>
      <c r="D17" s="8">
        <v>26</v>
      </c>
      <c r="E17" s="8">
        <v>12</v>
      </c>
    </row>
    <row r="18" spans="1:5" x14ac:dyDescent="0.35">
      <c r="A18" s="6">
        <v>46023</v>
      </c>
      <c r="B18" s="7" t="s">
        <v>44</v>
      </c>
      <c r="C18" s="7" t="s">
        <v>358</v>
      </c>
      <c r="D18" s="8">
        <v>34</v>
      </c>
      <c r="E18" s="8">
        <v>12</v>
      </c>
    </row>
    <row r="19" spans="1:5" x14ac:dyDescent="0.35">
      <c r="A19" s="6">
        <v>46023</v>
      </c>
      <c r="B19" s="7" t="s">
        <v>76</v>
      </c>
      <c r="C19" s="7" t="s">
        <v>358</v>
      </c>
      <c r="D19" s="8">
        <v>13</v>
      </c>
      <c r="E19" s="8">
        <v>7</v>
      </c>
    </row>
    <row r="20" spans="1:5" x14ac:dyDescent="0.35">
      <c r="A20" s="6">
        <v>46023</v>
      </c>
      <c r="B20" s="7" t="s">
        <v>60</v>
      </c>
      <c r="C20" s="7" t="s">
        <v>358</v>
      </c>
      <c r="D20" s="8">
        <v>21</v>
      </c>
      <c r="E20" s="8">
        <v>10</v>
      </c>
    </row>
    <row r="21" spans="1:5" x14ac:dyDescent="0.35">
      <c r="A21" s="6">
        <v>46023</v>
      </c>
      <c r="B21" s="7" t="s">
        <v>79</v>
      </c>
      <c r="C21" s="7" t="s">
        <v>358</v>
      </c>
      <c r="D21" s="8">
        <v>3</v>
      </c>
      <c r="E21" s="8">
        <v>10</v>
      </c>
    </row>
    <row r="22" spans="1:5" x14ac:dyDescent="0.35">
      <c r="A22" s="6">
        <v>46023</v>
      </c>
      <c r="B22" s="7" t="s">
        <v>50</v>
      </c>
      <c r="C22" s="7" t="s">
        <v>358</v>
      </c>
      <c r="D22" s="8">
        <v>62</v>
      </c>
      <c r="E22" s="8">
        <v>18</v>
      </c>
    </row>
    <row r="23" spans="1:5" x14ac:dyDescent="0.35">
      <c r="A23" s="6">
        <v>46023</v>
      </c>
      <c r="B23" s="7" t="s">
        <v>47</v>
      </c>
      <c r="C23" s="7" t="s">
        <v>358</v>
      </c>
      <c r="D23" s="8">
        <v>60</v>
      </c>
      <c r="E23" s="8">
        <v>18</v>
      </c>
    </row>
    <row r="24" spans="1:5" x14ac:dyDescent="0.35">
      <c r="A24" s="6">
        <v>46023</v>
      </c>
      <c r="B24" s="7" t="s">
        <v>36</v>
      </c>
      <c r="C24" s="7" t="s">
        <v>358</v>
      </c>
      <c r="D24" s="8">
        <v>62</v>
      </c>
      <c r="E24" s="8">
        <v>18</v>
      </c>
    </row>
    <row r="25" spans="1:5" x14ac:dyDescent="0.35">
      <c r="A25" s="6">
        <v>46023</v>
      </c>
      <c r="B25" s="7" t="s">
        <v>83</v>
      </c>
      <c r="C25" s="7" t="s">
        <v>358</v>
      </c>
      <c r="D25" s="8">
        <v>19</v>
      </c>
      <c r="E25" s="8">
        <v>14</v>
      </c>
    </row>
    <row r="26" spans="1:5" x14ac:dyDescent="0.35">
      <c r="A26" s="6">
        <v>46023</v>
      </c>
      <c r="B26" s="7" t="s">
        <v>55</v>
      </c>
      <c r="C26" s="7" t="s">
        <v>358</v>
      </c>
      <c r="D26" s="8">
        <v>42</v>
      </c>
      <c r="E26" s="8">
        <v>14</v>
      </c>
    </row>
    <row r="27" spans="1:5" x14ac:dyDescent="0.35">
      <c r="A27" s="6">
        <v>46023</v>
      </c>
      <c r="B27" s="7" t="s">
        <v>32</v>
      </c>
      <c r="C27" s="7" t="s">
        <v>359</v>
      </c>
      <c r="D27" s="8">
        <v>11</v>
      </c>
      <c r="E27" s="8">
        <v>8</v>
      </c>
    </row>
    <row r="28" spans="1:5" x14ac:dyDescent="0.35">
      <c r="A28" s="6">
        <v>46023</v>
      </c>
      <c r="B28" s="7" t="s">
        <v>40</v>
      </c>
      <c r="C28" s="7" t="s">
        <v>359</v>
      </c>
      <c r="D28" s="8">
        <v>27</v>
      </c>
      <c r="E28" s="8">
        <v>8</v>
      </c>
    </row>
    <row r="29" spans="1:5" x14ac:dyDescent="0.35">
      <c r="A29" s="6">
        <v>46023</v>
      </c>
      <c r="B29" s="7" t="s">
        <v>73</v>
      </c>
      <c r="C29" s="7" t="s">
        <v>359</v>
      </c>
      <c r="D29" s="8">
        <v>24</v>
      </c>
      <c r="E29" s="8">
        <v>12</v>
      </c>
    </row>
    <row r="30" spans="1:5" x14ac:dyDescent="0.35">
      <c r="A30" s="6">
        <v>46023</v>
      </c>
      <c r="B30" s="7" t="s">
        <v>44</v>
      </c>
      <c r="C30" s="7" t="s">
        <v>359</v>
      </c>
      <c r="D30" s="8">
        <v>38</v>
      </c>
      <c r="E30" s="8">
        <v>12</v>
      </c>
    </row>
    <row r="31" spans="1:5" x14ac:dyDescent="0.35">
      <c r="A31" s="6">
        <v>46023</v>
      </c>
      <c r="B31" s="7" t="s">
        <v>76</v>
      </c>
      <c r="C31" s="7" t="s">
        <v>359</v>
      </c>
      <c r="D31" s="8">
        <v>13</v>
      </c>
      <c r="E31" s="8">
        <v>7</v>
      </c>
    </row>
    <row r="32" spans="1:5" x14ac:dyDescent="0.35">
      <c r="A32" s="6">
        <v>46023</v>
      </c>
      <c r="B32" s="7" t="s">
        <v>60</v>
      </c>
      <c r="C32" s="7" t="s">
        <v>359</v>
      </c>
      <c r="D32" s="8">
        <v>28</v>
      </c>
      <c r="E32" s="8">
        <v>10</v>
      </c>
    </row>
    <row r="33" spans="1:5" x14ac:dyDescent="0.35">
      <c r="A33" s="6">
        <v>46023</v>
      </c>
      <c r="B33" s="7" t="s">
        <v>79</v>
      </c>
      <c r="C33" s="7" t="s">
        <v>359</v>
      </c>
      <c r="D33" s="8">
        <v>14</v>
      </c>
      <c r="E33" s="8">
        <v>10</v>
      </c>
    </row>
    <row r="34" spans="1:5" x14ac:dyDescent="0.35">
      <c r="A34" s="6">
        <v>46023</v>
      </c>
      <c r="B34" s="7" t="s">
        <v>50</v>
      </c>
      <c r="C34" s="7" t="s">
        <v>359</v>
      </c>
      <c r="D34" s="8">
        <v>47</v>
      </c>
      <c r="E34" s="8">
        <v>18</v>
      </c>
    </row>
    <row r="35" spans="1:5" x14ac:dyDescent="0.35">
      <c r="A35" s="6">
        <v>46023</v>
      </c>
      <c r="B35" s="7" t="s">
        <v>47</v>
      </c>
      <c r="C35" s="7" t="s">
        <v>359</v>
      </c>
      <c r="D35" s="8">
        <v>80</v>
      </c>
      <c r="E35" s="8">
        <v>18</v>
      </c>
    </row>
    <row r="36" spans="1:5" x14ac:dyDescent="0.35">
      <c r="A36" s="6">
        <v>46023</v>
      </c>
      <c r="B36" s="7" t="s">
        <v>36</v>
      </c>
      <c r="C36" s="7" t="s">
        <v>359</v>
      </c>
      <c r="D36" s="8">
        <v>69</v>
      </c>
      <c r="E36" s="8">
        <v>18</v>
      </c>
    </row>
    <row r="37" spans="1:5" x14ac:dyDescent="0.35">
      <c r="A37" s="6">
        <v>46023</v>
      </c>
      <c r="B37" s="7" t="s">
        <v>83</v>
      </c>
      <c r="C37" s="7" t="s">
        <v>359</v>
      </c>
      <c r="D37" s="8">
        <v>23</v>
      </c>
      <c r="E37" s="8">
        <v>14</v>
      </c>
    </row>
    <row r="38" spans="1:5" x14ac:dyDescent="0.35">
      <c r="A38" s="6">
        <v>46023</v>
      </c>
      <c r="B38" s="7" t="s">
        <v>55</v>
      </c>
      <c r="C38" s="7" t="s">
        <v>359</v>
      </c>
      <c r="D38" s="8">
        <v>45</v>
      </c>
      <c r="E38" s="8">
        <v>14</v>
      </c>
    </row>
    <row r="39" spans="1:5" x14ac:dyDescent="0.35">
      <c r="A39" s="6">
        <v>46030</v>
      </c>
      <c r="B39" s="7" t="s">
        <v>32</v>
      </c>
      <c r="C39" s="7" t="s">
        <v>357</v>
      </c>
      <c r="D39" s="8">
        <v>19</v>
      </c>
      <c r="E39" s="8">
        <v>8</v>
      </c>
    </row>
    <row r="40" spans="1:5" x14ac:dyDescent="0.35">
      <c r="A40" s="6">
        <v>46030</v>
      </c>
      <c r="B40" s="7" t="s">
        <v>40</v>
      </c>
      <c r="C40" s="7" t="s">
        <v>357</v>
      </c>
      <c r="D40" s="8">
        <v>27</v>
      </c>
      <c r="E40" s="8">
        <v>8</v>
      </c>
    </row>
    <row r="41" spans="1:5" x14ac:dyDescent="0.35">
      <c r="A41" s="6">
        <v>46030</v>
      </c>
      <c r="B41" s="7" t="s">
        <v>73</v>
      </c>
      <c r="C41" s="7" t="s">
        <v>357</v>
      </c>
      <c r="D41" s="8">
        <v>36</v>
      </c>
      <c r="E41" s="8">
        <v>12</v>
      </c>
    </row>
    <row r="42" spans="1:5" x14ac:dyDescent="0.35">
      <c r="A42" s="6">
        <v>46030</v>
      </c>
      <c r="B42" s="7" t="s">
        <v>44</v>
      </c>
      <c r="C42" s="7" t="s">
        <v>357</v>
      </c>
      <c r="D42" s="8">
        <v>21</v>
      </c>
      <c r="E42" s="8">
        <v>12</v>
      </c>
    </row>
    <row r="43" spans="1:5" x14ac:dyDescent="0.35">
      <c r="A43" s="6">
        <v>46030</v>
      </c>
      <c r="B43" s="7" t="s">
        <v>76</v>
      </c>
      <c r="C43" s="7" t="s">
        <v>357</v>
      </c>
      <c r="D43" s="8">
        <v>22</v>
      </c>
      <c r="E43" s="8">
        <v>7</v>
      </c>
    </row>
    <row r="44" spans="1:5" x14ac:dyDescent="0.35">
      <c r="A44" s="6">
        <v>46030</v>
      </c>
      <c r="B44" s="7" t="s">
        <v>60</v>
      </c>
      <c r="C44" s="7" t="s">
        <v>357</v>
      </c>
      <c r="D44" s="8">
        <v>31</v>
      </c>
      <c r="E44" s="8">
        <v>10</v>
      </c>
    </row>
    <row r="45" spans="1:5" x14ac:dyDescent="0.35">
      <c r="A45" s="6">
        <v>46030</v>
      </c>
      <c r="B45" s="7" t="s">
        <v>79</v>
      </c>
      <c r="C45" s="7" t="s">
        <v>357</v>
      </c>
      <c r="D45" s="8">
        <v>23</v>
      </c>
      <c r="E45" s="8">
        <v>10</v>
      </c>
    </row>
    <row r="46" spans="1:5" x14ac:dyDescent="0.35">
      <c r="A46" s="6">
        <v>46030</v>
      </c>
      <c r="B46" s="7" t="s">
        <v>50</v>
      </c>
      <c r="C46" s="7" t="s">
        <v>357</v>
      </c>
      <c r="D46" s="8">
        <v>87</v>
      </c>
      <c r="E46" s="8">
        <v>18</v>
      </c>
    </row>
    <row r="47" spans="1:5" x14ac:dyDescent="0.35">
      <c r="A47" s="6">
        <v>46030</v>
      </c>
      <c r="B47" s="7" t="s">
        <v>47</v>
      </c>
      <c r="C47" s="7" t="s">
        <v>357</v>
      </c>
      <c r="D47" s="8">
        <v>88</v>
      </c>
      <c r="E47" s="8">
        <v>18</v>
      </c>
    </row>
    <row r="48" spans="1:5" x14ac:dyDescent="0.35">
      <c r="A48" s="6">
        <v>46030</v>
      </c>
      <c r="B48" s="7" t="s">
        <v>36</v>
      </c>
      <c r="C48" s="7" t="s">
        <v>357</v>
      </c>
      <c r="D48" s="8">
        <v>52</v>
      </c>
      <c r="E48" s="8">
        <v>18</v>
      </c>
    </row>
    <row r="49" spans="1:5" x14ac:dyDescent="0.35">
      <c r="A49" s="6">
        <v>46030</v>
      </c>
      <c r="B49" s="7" t="s">
        <v>83</v>
      </c>
      <c r="C49" s="7" t="s">
        <v>357</v>
      </c>
      <c r="D49" s="8">
        <v>59</v>
      </c>
      <c r="E49" s="8">
        <v>14</v>
      </c>
    </row>
    <row r="50" spans="1:5" x14ac:dyDescent="0.35">
      <c r="A50" s="6">
        <v>46030</v>
      </c>
      <c r="B50" s="7" t="s">
        <v>55</v>
      </c>
      <c r="C50" s="7" t="s">
        <v>357</v>
      </c>
      <c r="D50" s="8">
        <v>46</v>
      </c>
      <c r="E50" s="8">
        <v>14</v>
      </c>
    </row>
    <row r="51" spans="1:5" x14ac:dyDescent="0.35">
      <c r="A51" s="6">
        <v>46030</v>
      </c>
      <c r="B51" s="7" t="s">
        <v>32</v>
      </c>
      <c r="C51" s="7" t="s">
        <v>358</v>
      </c>
      <c r="D51" s="8">
        <v>14</v>
      </c>
      <c r="E51" s="8">
        <v>8</v>
      </c>
    </row>
    <row r="52" spans="1:5" x14ac:dyDescent="0.35">
      <c r="A52" s="6">
        <v>46030</v>
      </c>
      <c r="B52" s="7" t="s">
        <v>40</v>
      </c>
      <c r="C52" s="7" t="s">
        <v>358</v>
      </c>
      <c r="D52" s="8">
        <v>12</v>
      </c>
      <c r="E52" s="8">
        <v>8</v>
      </c>
    </row>
    <row r="53" spans="1:5" x14ac:dyDescent="0.35">
      <c r="A53" s="6">
        <v>46030</v>
      </c>
      <c r="B53" s="7" t="s">
        <v>73</v>
      </c>
      <c r="C53" s="7" t="s">
        <v>358</v>
      </c>
      <c r="D53" s="8">
        <v>20</v>
      </c>
      <c r="E53" s="8">
        <v>12</v>
      </c>
    </row>
    <row r="54" spans="1:5" x14ac:dyDescent="0.35">
      <c r="A54" s="6">
        <v>46030</v>
      </c>
      <c r="B54" s="7" t="s">
        <v>44</v>
      </c>
      <c r="C54" s="7" t="s">
        <v>358</v>
      </c>
      <c r="D54" s="8">
        <v>19</v>
      </c>
      <c r="E54" s="8">
        <v>12</v>
      </c>
    </row>
    <row r="55" spans="1:5" x14ac:dyDescent="0.35">
      <c r="A55" s="6">
        <v>46030</v>
      </c>
      <c r="B55" s="7" t="s">
        <v>76</v>
      </c>
      <c r="C55" s="7" t="s">
        <v>358</v>
      </c>
      <c r="D55" s="8">
        <v>11</v>
      </c>
      <c r="E55" s="8">
        <v>7</v>
      </c>
    </row>
    <row r="56" spans="1:5" x14ac:dyDescent="0.35">
      <c r="A56" s="6">
        <v>46030</v>
      </c>
      <c r="B56" s="7" t="s">
        <v>60</v>
      </c>
      <c r="C56" s="7" t="s">
        <v>358</v>
      </c>
      <c r="D56" s="8">
        <v>24</v>
      </c>
      <c r="E56" s="8">
        <v>10</v>
      </c>
    </row>
    <row r="57" spans="1:5" x14ac:dyDescent="0.35">
      <c r="A57" s="6">
        <v>46030</v>
      </c>
      <c r="B57" s="7" t="s">
        <v>79</v>
      </c>
      <c r="C57" s="7" t="s">
        <v>358</v>
      </c>
      <c r="D57" s="8">
        <v>22</v>
      </c>
      <c r="E57" s="8">
        <v>10</v>
      </c>
    </row>
    <row r="58" spans="1:5" x14ac:dyDescent="0.35">
      <c r="A58" s="6">
        <v>46030</v>
      </c>
      <c r="B58" s="7" t="s">
        <v>50</v>
      </c>
      <c r="C58" s="7" t="s">
        <v>358</v>
      </c>
      <c r="D58" s="8">
        <v>68</v>
      </c>
      <c r="E58" s="8">
        <v>18</v>
      </c>
    </row>
    <row r="59" spans="1:5" x14ac:dyDescent="0.35">
      <c r="A59" s="6">
        <v>46030</v>
      </c>
      <c r="B59" s="7" t="s">
        <v>47</v>
      </c>
      <c r="C59" s="7" t="s">
        <v>358</v>
      </c>
      <c r="D59" s="8">
        <v>56</v>
      </c>
      <c r="E59" s="8">
        <v>18</v>
      </c>
    </row>
    <row r="60" spans="1:5" x14ac:dyDescent="0.35">
      <c r="A60" s="6">
        <v>46030</v>
      </c>
      <c r="B60" s="7" t="s">
        <v>36</v>
      </c>
      <c r="C60" s="7" t="s">
        <v>358</v>
      </c>
      <c r="D60" s="8">
        <v>63</v>
      </c>
      <c r="E60" s="8">
        <v>18</v>
      </c>
    </row>
    <row r="61" spans="1:5" x14ac:dyDescent="0.35">
      <c r="A61" s="6">
        <v>46030</v>
      </c>
      <c r="B61" s="7" t="s">
        <v>83</v>
      </c>
      <c r="C61" s="7" t="s">
        <v>358</v>
      </c>
      <c r="D61" s="8">
        <v>26</v>
      </c>
      <c r="E61" s="8">
        <v>14</v>
      </c>
    </row>
    <row r="62" spans="1:5" x14ac:dyDescent="0.35">
      <c r="A62" s="6">
        <v>46030</v>
      </c>
      <c r="B62" s="7" t="s">
        <v>55</v>
      </c>
      <c r="C62" s="7" t="s">
        <v>358</v>
      </c>
      <c r="D62" s="8">
        <v>29</v>
      </c>
      <c r="E62" s="8">
        <v>14</v>
      </c>
    </row>
    <row r="63" spans="1:5" x14ac:dyDescent="0.35">
      <c r="A63" s="6">
        <v>46030</v>
      </c>
      <c r="B63" s="7" t="s">
        <v>32</v>
      </c>
      <c r="C63" s="7" t="s">
        <v>359</v>
      </c>
      <c r="D63" s="8">
        <v>17</v>
      </c>
      <c r="E63" s="8">
        <v>8</v>
      </c>
    </row>
    <row r="64" spans="1:5" x14ac:dyDescent="0.35">
      <c r="A64" s="6">
        <v>46030</v>
      </c>
      <c r="B64" s="7" t="s">
        <v>40</v>
      </c>
      <c r="C64" s="7" t="s">
        <v>359</v>
      </c>
      <c r="D64" s="8">
        <v>21</v>
      </c>
      <c r="E64" s="8">
        <v>8</v>
      </c>
    </row>
    <row r="65" spans="1:5" x14ac:dyDescent="0.35">
      <c r="A65" s="6">
        <v>46030</v>
      </c>
      <c r="B65" s="7" t="s">
        <v>73</v>
      </c>
      <c r="C65" s="7" t="s">
        <v>359</v>
      </c>
      <c r="D65" s="8">
        <v>14</v>
      </c>
      <c r="E65" s="8">
        <v>12</v>
      </c>
    </row>
    <row r="66" spans="1:5" x14ac:dyDescent="0.35">
      <c r="A66" s="6">
        <v>46030</v>
      </c>
      <c r="B66" s="7" t="s">
        <v>44</v>
      </c>
      <c r="C66" s="7" t="s">
        <v>359</v>
      </c>
      <c r="D66" s="8">
        <v>28</v>
      </c>
      <c r="E66" s="8">
        <v>12</v>
      </c>
    </row>
    <row r="67" spans="1:5" x14ac:dyDescent="0.35">
      <c r="A67" s="6">
        <v>46030</v>
      </c>
      <c r="B67" s="7" t="s">
        <v>76</v>
      </c>
      <c r="C67" s="7" t="s">
        <v>359</v>
      </c>
      <c r="D67" s="8">
        <v>10</v>
      </c>
      <c r="E67" s="8">
        <v>7</v>
      </c>
    </row>
    <row r="68" spans="1:5" x14ac:dyDescent="0.35">
      <c r="A68" s="6">
        <v>46030</v>
      </c>
      <c r="B68" s="7" t="s">
        <v>60</v>
      </c>
      <c r="C68" s="7" t="s">
        <v>359</v>
      </c>
      <c r="D68" s="8">
        <v>21</v>
      </c>
      <c r="E68" s="8">
        <v>10</v>
      </c>
    </row>
    <row r="69" spans="1:5" x14ac:dyDescent="0.35">
      <c r="A69" s="6">
        <v>46030</v>
      </c>
      <c r="B69" s="7" t="s">
        <v>79</v>
      </c>
      <c r="C69" s="7" t="s">
        <v>359</v>
      </c>
      <c r="D69" s="8">
        <v>26</v>
      </c>
      <c r="E69" s="8">
        <v>10</v>
      </c>
    </row>
    <row r="70" spans="1:5" x14ac:dyDescent="0.35">
      <c r="A70" s="6">
        <v>46030</v>
      </c>
      <c r="B70" s="7" t="s">
        <v>50</v>
      </c>
      <c r="C70" s="7" t="s">
        <v>359</v>
      </c>
      <c r="D70" s="8">
        <v>49</v>
      </c>
      <c r="E70" s="8">
        <v>18</v>
      </c>
    </row>
    <row r="71" spans="1:5" x14ac:dyDescent="0.35">
      <c r="A71" s="6">
        <v>46030</v>
      </c>
      <c r="B71" s="7" t="s">
        <v>47</v>
      </c>
      <c r="C71" s="7" t="s">
        <v>359</v>
      </c>
      <c r="D71" s="8">
        <v>72</v>
      </c>
      <c r="E71" s="8">
        <v>18</v>
      </c>
    </row>
    <row r="72" spans="1:5" x14ac:dyDescent="0.35">
      <c r="A72" s="6">
        <v>46030</v>
      </c>
      <c r="B72" s="7" t="s">
        <v>36</v>
      </c>
      <c r="C72" s="7" t="s">
        <v>359</v>
      </c>
      <c r="D72" s="8">
        <v>60</v>
      </c>
      <c r="E72" s="8">
        <v>18</v>
      </c>
    </row>
    <row r="73" spans="1:5" x14ac:dyDescent="0.35">
      <c r="A73" s="6">
        <v>46030</v>
      </c>
      <c r="B73" s="7" t="s">
        <v>83</v>
      </c>
      <c r="C73" s="7" t="s">
        <v>359</v>
      </c>
      <c r="D73" s="8">
        <v>36</v>
      </c>
      <c r="E73" s="8">
        <v>14</v>
      </c>
    </row>
    <row r="74" spans="1:5" x14ac:dyDescent="0.35">
      <c r="A74" s="6">
        <v>46030</v>
      </c>
      <c r="B74" s="7" t="s">
        <v>55</v>
      </c>
      <c r="C74" s="7" t="s">
        <v>359</v>
      </c>
      <c r="D74" s="8">
        <v>48</v>
      </c>
      <c r="E74" s="8">
        <v>14</v>
      </c>
    </row>
    <row r="75" spans="1:5" x14ac:dyDescent="0.35">
      <c r="A75" s="6">
        <v>46037</v>
      </c>
      <c r="B75" s="7" t="s">
        <v>32</v>
      </c>
      <c r="C75" s="7" t="s">
        <v>357</v>
      </c>
      <c r="D75" s="8">
        <v>14</v>
      </c>
      <c r="E75" s="8">
        <v>8</v>
      </c>
    </row>
    <row r="76" spans="1:5" x14ac:dyDescent="0.35">
      <c r="A76" s="6">
        <v>46037</v>
      </c>
      <c r="B76" s="7" t="s">
        <v>40</v>
      </c>
      <c r="C76" s="7" t="s">
        <v>357</v>
      </c>
      <c r="D76" s="8">
        <v>24</v>
      </c>
      <c r="E76" s="8">
        <v>8</v>
      </c>
    </row>
    <row r="77" spans="1:5" x14ac:dyDescent="0.35">
      <c r="A77" s="6">
        <v>46037</v>
      </c>
      <c r="B77" s="7" t="s">
        <v>73</v>
      </c>
      <c r="C77" s="7" t="s">
        <v>357</v>
      </c>
      <c r="D77" s="8">
        <v>42</v>
      </c>
      <c r="E77" s="8">
        <v>12</v>
      </c>
    </row>
    <row r="78" spans="1:5" x14ac:dyDescent="0.35">
      <c r="A78" s="6">
        <v>46037</v>
      </c>
      <c r="B78" s="7" t="s">
        <v>44</v>
      </c>
      <c r="C78" s="7" t="s">
        <v>357</v>
      </c>
      <c r="D78" s="8">
        <v>36</v>
      </c>
      <c r="E78" s="8">
        <v>12</v>
      </c>
    </row>
    <row r="79" spans="1:5" x14ac:dyDescent="0.35">
      <c r="A79" s="6">
        <v>46037</v>
      </c>
      <c r="B79" s="7" t="s">
        <v>76</v>
      </c>
      <c r="C79" s="7" t="s">
        <v>357</v>
      </c>
      <c r="D79" s="8">
        <v>22</v>
      </c>
      <c r="E79" s="8">
        <v>7</v>
      </c>
    </row>
    <row r="80" spans="1:5" x14ac:dyDescent="0.35">
      <c r="A80" s="6">
        <v>46037</v>
      </c>
      <c r="B80" s="7" t="s">
        <v>60</v>
      </c>
      <c r="C80" s="7" t="s">
        <v>357</v>
      </c>
      <c r="D80" s="8">
        <v>22</v>
      </c>
      <c r="E80" s="8">
        <v>10</v>
      </c>
    </row>
    <row r="81" spans="1:5" x14ac:dyDescent="0.35">
      <c r="A81" s="6">
        <v>46037</v>
      </c>
      <c r="B81" s="7" t="s">
        <v>79</v>
      </c>
      <c r="C81" s="7" t="s">
        <v>357</v>
      </c>
      <c r="D81" s="8">
        <v>29</v>
      </c>
      <c r="E81" s="8">
        <v>10</v>
      </c>
    </row>
    <row r="82" spans="1:5" x14ac:dyDescent="0.35">
      <c r="A82" s="6">
        <v>46037</v>
      </c>
      <c r="B82" s="7" t="s">
        <v>50</v>
      </c>
      <c r="C82" s="7" t="s">
        <v>357</v>
      </c>
      <c r="D82" s="8">
        <v>92</v>
      </c>
      <c r="E82" s="8">
        <v>18</v>
      </c>
    </row>
    <row r="83" spans="1:5" x14ac:dyDescent="0.35">
      <c r="A83" s="6">
        <v>46037</v>
      </c>
      <c r="B83" s="7" t="s">
        <v>47</v>
      </c>
      <c r="C83" s="7" t="s">
        <v>357</v>
      </c>
      <c r="D83" s="8">
        <v>61</v>
      </c>
      <c r="E83" s="8">
        <v>18</v>
      </c>
    </row>
    <row r="84" spans="1:5" x14ac:dyDescent="0.35">
      <c r="A84" s="6">
        <v>46037</v>
      </c>
      <c r="B84" s="7" t="s">
        <v>36</v>
      </c>
      <c r="C84" s="7" t="s">
        <v>357</v>
      </c>
      <c r="D84" s="8">
        <v>41</v>
      </c>
      <c r="E84" s="8">
        <v>18</v>
      </c>
    </row>
    <row r="85" spans="1:5" x14ac:dyDescent="0.35">
      <c r="A85" s="6">
        <v>46037</v>
      </c>
      <c r="B85" s="7" t="s">
        <v>83</v>
      </c>
      <c r="C85" s="7" t="s">
        <v>357</v>
      </c>
      <c r="D85" s="8">
        <v>38</v>
      </c>
      <c r="E85" s="8">
        <v>14</v>
      </c>
    </row>
    <row r="86" spans="1:5" x14ac:dyDescent="0.35">
      <c r="A86" s="6">
        <v>46037</v>
      </c>
      <c r="B86" s="7" t="s">
        <v>55</v>
      </c>
      <c r="C86" s="7" t="s">
        <v>357</v>
      </c>
      <c r="D86" s="8">
        <v>36</v>
      </c>
      <c r="E86" s="8">
        <v>14</v>
      </c>
    </row>
    <row r="87" spans="1:5" x14ac:dyDescent="0.35">
      <c r="A87" s="6">
        <v>46037</v>
      </c>
      <c r="B87" s="7" t="s">
        <v>32</v>
      </c>
      <c r="C87" s="7" t="s">
        <v>358</v>
      </c>
      <c r="D87" s="8">
        <v>23</v>
      </c>
      <c r="E87" s="8">
        <v>8</v>
      </c>
    </row>
    <row r="88" spans="1:5" x14ac:dyDescent="0.35">
      <c r="A88" s="6">
        <v>46037</v>
      </c>
      <c r="B88" s="7" t="s">
        <v>40</v>
      </c>
      <c r="C88" s="7" t="s">
        <v>358</v>
      </c>
      <c r="D88" s="8">
        <v>31</v>
      </c>
      <c r="E88" s="8">
        <v>8</v>
      </c>
    </row>
    <row r="89" spans="1:5" x14ac:dyDescent="0.35">
      <c r="A89" s="6">
        <v>46037</v>
      </c>
      <c r="B89" s="7" t="s">
        <v>73</v>
      </c>
      <c r="C89" s="7" t="s">
        <v>358</v>
      </c>
      <c r="D89" s="8">
        <v>32</v>
      </c>
      <c r="E89" s="8">
        <v>12</v>
      </c>
    </row>
    <row r="90" spans="1:5" x14ac:dyDescent="0.35">
      <c r="A90" s="6">
        <v>46037</v>
      </c>
      <c r="B90" s="7" t="s">
        <v>44</v>
      </c>
      <c r="C90" s="7" t="s">
        <v>358</v>
      </c>
      <c r="D90" s="8">
        <v>20</v>
      </c>
      <c r="E90" s="8">
        <v>12</v>
      </c>
    </row>
    <row r="91" spans="1:5" x14ac:dyDescent="0.35">
      <c r="A91" s="6">
        <v>46037</v>
      </c>
      <c r="B91" s="7" t="s">
        <v>76</v>
      </c>
      <c r="C91" s="7" t="s">
        <v>358</v>
      </c>
      <c r="D91" s="8">
        <v>27</v>
      </c>
      <c r="E91" s="8">
        <v>7</v>
      </c>
    </row>
    <row r="92" spans="1:5" x14ac:dyDescent="0.35">
      <c r="A92" s="6">
        <v>46037</v>
      </c>
      <c r="B92" s="7" t="s">
        <v>60</v>
      </c>
      <c r="C92" s="7" t="s">
        <v>358</v>
      </c>
      <c r="D92" s="8">
        <v>17</v>
      </c>
      <c r="E92" s="8">
        <v>10</v>
      </c>
    </row>
    <row r="93" spans="1:5" x14ac:dyDescent="0.35">
      <c r="A93" s="6">
        <v>46037</v>
      </c>
      <c r="B93" s="7" t="s">
        <v>79</v>
      </c>
      <c r="C93" s="7" t="s">
        <v>358</v>
      </c>
      <c r="D93" s="8">
        <v>29</v>
      </c>
      <c r="E93" s="8">
        <v>10</v>
      </c>
    </row>
    <row r="94" spans="1:5" x14ac:dyDescent="0.35">
      <c r="A94" s="6">
        <v>46037</v>
      </c>
      <c r="B94" s="7" t="s">
        <v>50</v>
      </c>
      <c r="C94" s="7" t="s">
        <v>358</v>
      </c>
      <c r="D94" s="8">
        <v>72</v>
      </c>
      <c r="E94" s="8">
        <v>18</v>
      </c>
    </row>
    <row r="95" spans="1:5" x14ac:dyDescent="0.35">
      <c r="A95" s="6">
        <v>46037</v>
      </c>
      <c r="B95" s="7" t="s">
        <v>47</v>
      </c>
      <c r="C95" s="7" t="s">
        <v>358</v>
      </c>
      <c r="D95" s="8">
        <v>66</v>
      </c>
      <c r="E95" s="8">
        <v>18</v>
      </c>
    </row>
    <row r="96" spans="1:5" x14ac:dyDescent="0.35">
      <c r="A96" s="6">
        <v>46037</v>
      </c>
      <c r="B96" s="7" t="s">
        <v>36</v>
      </c>
      <c r="C96" s="7" t="s">
        <v>358</v>
      </c>
      <c r="D96" s="8">
        <v>41</v>
      </c>
      <c r="E96" s="8">
        <v>18</v>
      </c>
    </row>
    <row r="97" spans="1:5" x14ac:dyDescent="0.35">
      <c r="A97" s="6">
        <v>46037</v>
      </c>
      <c r="B97" s="7" t="s">
        <v>83</v>
      </c>
      <c r="C97" s="7" t="s">
        <v>358</v>
      </c>
      <c r="D97" s="8">
        <v>52</v>
      </c>
      <c r="E97" s="8">
        <v>14</v>
      </c>
    </row>
    <row r="98" spans="1:5" x14ac:dyDescent="0.35">
      <c r="A98" s="6">
        <v>46037</v>
      </c>
      <c r="B98" s="7" t="s">
        <v>55</v>
      </c>
      <c r="C98" s="7" t="s">
        <v>358</v>
      </c>
      <c r="D98" s="8">
        <v>34</v>
      </c>
      <c r="E98" s="8">
        <v>14</v>
      </c>
    </row>
    <row r="99" spans="1:5" x14ac:dyDescent="0.35">
      <c r="A99" s="6">
        <v>46037</v>
      </c>
      <c r="B99" s="7" t="s">
        <v>32</v>
      </c>
      <c r="C99" s="7" t="s">
        <v>359</v>
      </c>
      <c r="D99" s="8">
        <v>11</v>
      </c>
      <c r="E99" s="8">
        <v>8</v>
      </c>
    </row>
    <row r="100" spans="1:5" x14ac:dyDescent="0.35">
      <c r="A100" s="6">
        <v>46037</v>
      </c>
      <c r="B100" s="7" t="s">
        <v>40</v>
      </c>
      <c r="C100" s="7" t="s">
        <v>359</v>
      </c>
      <c r="D100" s="8">
        <v>11</v>
      </c>
      <c r="E100" s="8">
        <v>8</v>
      </c>
    </row>
    <row r="101" spans="1:5" x14ac:dyDescent="0.35">
      <c r="A101" s="6">
        <v>46037</v>
      </c>
      <c r="B101" s="7" t="s">
        <v>73</v>
      </c>
      <c r="C101" s="7" t="s">
        <v>359</v>
      </c>
      <c r="D101" s="8">
        <v>32</v>
      </c>
      <c r="E101" s="8">
        <v>12</v>
      </c>
    </row>
    <row r="102" spans="1:5" x14ac:dyDescent="0.35">
      <c r="A102" s="6">
        <v>46037</v>
      </c>
      <c r="B102" s="7" t="s">
        <v>44</v>
      </c>
      <c r="C102" s="7" t="s">
        <v>359</v>
      </c>
      <c r="D102" s="8">
        <v>26</v>
      </c>
      <c r="E102" s="8">
        <v>12</v>
      </c>
    </row>
    <row r="103" spans="1:5" x14ac:dyDescent="0.35">
      <c r="A103" s="6">
        <v>46037</v>
      </c>
      <c r="B103" s="7" t="s">
        <v>76</v>
      </c>
      <c r="C103" s="7" t="s">
        <v>359</v>
      </c>
      <c r="D103" s="8">
        <v>16</v>
      </c>
      <c r="E103" s="8">
        <v>7</v>
      </c>
    </row>
    <row r="104" spans="1:5" x14ac:dyDescent="0.35">
      <c r="A104" s="6">
        <v>46037</v>
      </c>
      <c r="B104" s="7" t="s">
        <v>60</v>
      </c>
      <c r="C104" s="7" t="s">
        <v>359</v>
      </c>
      <c r="D104" s="8">
        <v>24</v>
      </c>
      <c r="E104" s="8">
        <v>10</v>
      </c>
    </row>
    <row r="105" spans="1:5" x14ac:dyDescent="0.35">
      <c r="A105" s="6">
        <v>46037</v>
      </c>
      <c r="B105" s="7" t="s">
        <v>79</v>
      </c>
      <c r="C105" s="7" t="s">
        <v>359</v>
      </c>
      <c r="D105" s="8">
        <v>20</v>
      </c>
      <c r="E105" s="8">
        <v>10</v>
      </c>
    </row>
    <row r="106" spans="1:5" x14ac:dyDescent="0.35">
      <c r="A106" s="6">
        <v>46037</v>
      </c>
      <c r="B106" s="7" t="s">
        <v>50</v>
      </c>
      <c r="C106" s="7" t="s">
        <v>359</v>
      </c>
      <c r="D106" s="8">
        <v>54</v>
      </c>
      <c r="E106" s="8">
        <v>18</v>
      </c>
    </row>
    <row r="107" spans="1:5" x14ac:dyDescent="0.35">
      <c r="A107" s="6">
        <v>46037</v>
      </c>
      <c r="B107" s="7" t="s">
        <v>47</v>
      </c>
      <c r="C107" s="7" t="s">
        <v>359</v>
      </c>
      <c r="D107" s="8">
        <v>70</v>
      </c>
      <c r="E107" s="8">
        <v>18</v>
      </c>
    </row>
    <row r="108" spans="1:5" x14ac:dyDescent="0.35">
      <c r="A108" s="6">
        <v>46037</v>
      </c>
      <c r="B108" s="7" t="s">
        <v>36</v>
      </c>
      <c r="C108" s="7" t="s">
        <v>359</v>
      </c>
      <c r="D108" s="8">
        <v>66</v>
      </c>
      <c r="E108" s="8">
        <v>18</v>
      </c>
    </row>
    <row r="109" spans="1:5" x14ac:dyDescent="0.35">
      <c r="A109" s="6">
        <v>46037</v>
      </c>
      <c r="B109" s="7" t="s">
        <v>83</v>
      </c>
      <c r="C109" s="7" t="s">
        <v>359</v>
      </c>
      <c r="D109" s="8">
        <v>54</v>
      </c>
      <c r="E109" s="8">
        <v>14</v>
      </c>
    </row>
    <row r="110" spans="1:5" x14ac:dyDescent="0.35">
      <c r="A110" s="6">
        <v>46037</v>
      </c>
      <c r="B110" s="7" t="s">
        <v>55</v>
      </c>
      <c r="C110" s="7" t="s">
        <v>359</v>
      </c>
      <c r="D110" s="8">
        <v>46</v>
      </c>
      <c r="E110" s="8">
        <v>14</v>
      </c>
    </row>
    <row r="111" spans="1:5" x14ac:dyDescent="0.35">
      <c r="A111" s="6">
        <v>46044</v>
      </c>
      <c r="B111" s="7" t="s">
        <v>32</v>
      </c>
      <c r="C111" s="7" t="s">
        <v>357</v>
      </c>
      <c r="D111" s="8">
        <v>21</v>
      </c>
      <c r="E111" s="8">
        <v>8</v>
      </c>
    </row>
    <row r="112" spans="1:5" x14ac:dyDescent="0.35">
      <c r="A112" s="6">
        <v>46044</v>
      </c>
      <c r="B112" s="7" t="s">
        <v>40</v>
      </c>
      <c r="C112" s="7" t="s">
        <v>357</v>
      </c>
      <c r="D112" s="8">
        <v>17</v>
      </c>
      <c r="E112" s="8">
        <v>8</v>
      </c>
    </row>
    <row r="113" spans="1:5" x14ac:dyDescent="0.35">
      <c r="A113" s="6">
        <v>46044</v>
      </c>
      <c r="B113" s="7" t="s">
        <v>73</v>
      </c>
      <c r="C113" s="7" t="s">
        <v>357</v>
      </c>
      <c r="D113" s="8">
        <v>30</v>
      </c>
      <c r="E113" s="8">
        <v>12</v>
      </c>
    </row>
    <row r="114" spans="1:5" x14ac:dyDescent="0.35">
      <c r="A114" s="6">
        <v>46044</v>
      </c>
      <c r="B114" s="7" t="s">
        <v>44</v>
      </c>
      <c r="C114" s="7" t="s">
        <v>357</v>
      </c>
      <c r="D114" s="8">
        <v>32</v>
      </c>
      <c r="E114" s="8">
        <v>12</v>
      </c>
    </row>
    <row r="115" spans="1:5" x14ac:dyDescent="0.35">
      <c r="A115" s="6">
        <v>46044</v>
      </c>
      <c r="B115" s="7" t="s">
        <v>76</v>
      </c>
      <c r="C115" s="7" t="s">
        <v>357</v>
      </c>
      <c r="D115" s="8">
        <v>19</v>
      </c>
      <c r="E115" s="8">
        <v>7</v>
      </c>
    </row>
    <row r="116" spans="1:5" x14ac:dyDescent="0.35">
      <c r="A116" s="6">
        <v>46044</v>
      </c>
      <c r="B116" s="7" t="s">
        <v>60</v>
      </c>
      <c r="C116" s="7" t="s">
        <v>357</v>
      </c>
      <c r="D116" s="8">
        <v>32</v>
      </c>
      <c r="E116" s="8">
        <v>10</v>
      </c>
    </row>
    <row r="117" spans="1:5" x14ac:dyDescent="0.35">
      <c r="A117" s="6">
        <v>46044</v>
      </c>
      <c r="B117" s="7" t="s">
        <v>79</v>
      </c>
      <c r="C117" s="7" t="s">
        <v>357</v>
      </c>
      <c r="D117" s="8">
        <v>33</v>
      </c>
      <c r="E117" s="8">
        <v>10</v>
      </c>
    </row>
    <row r="118" spans="1:5" x14ac:dyDescent="0.35">
      <c r="A118" s="6">
        <v>46044</v>
      </c>
      <c r="B118" s="7" t="s">
        <v>50</v>
      </c>
      <c r="C118" s="7" t="s">
        <v>357</v>
      </c>
      <c r="D118" s="8">
        <v>82</v>
      </c>
      <c r="E118" s="8">
        <v>18</v>
      </c>
    </row>
    <row r="119" spans="1:5" x14ac:dyDescent="0.35">
      <c r="A119" s="6">
        <v>46044</v>
      </c>
      <c r="B119" s="7" t="s">
        <v>47</v>
      </c>
      <c r="C119" s="7" t="s">
        <v>357</v>
      </c>
      <c r="D119" s="8">
        <v>44</v>
      </c>
      <c r="E119" s="8">
        <v>18</v>
      </c>
    </row>
    <row r="120" spans="1:5" x14ac:dyDescent="0.35">
      <c r="A120" s="6">
        <v>46044</v>
      </c>
      <c r="B120" s="7" t="s">
        <v>36</v>
      </c>
      <c r="C120" s="7" t="s">
        <v>357</v>
      </c>
      <c r="D120" s="8">
        <v>72</v>
      </c>
      <c r="E120" s="8">
        <v>18</v>
      </c>
    </row>
    <row r="121" spans="1:5" x14ac:dyDescent="0.35">
      <c r="A121" s="6">
        <v>46044</v>
      </c>
      <c r="B121" s="7" t="s">
        <v>83</v>
      </c>
      <c r="C121" s="7" t="s">
        <v>357</v>
      </c>
      <c r="D121" s="8">
        <v>30</v>
      </c>
      <c r="E121" s="8">
        <v>14</v>
      </c>
    </row>
    <row r="122" spans="1:5" x14ac:dyDescent="0.35">
      <c r="A122" s="6">
        <v>46044</v>
      </c>
      <c r="B122" s="7" t="s">
        <v>55</v>
      </c>
      <c r="C122" s="7" t="s">
        <v>357</v>
      </c>
      <c r="D122" s="8">
        <v>48</v>
      </c>
      <c r="E122" s="8">
        <v>14</v>
      </c>
    </row>
    <row r="123" spans="1:5" x14ac:dyDescent="0.35">
      <c r="A123" s="6">
        <v>46044</v>
      </c>
      <c r="B123" s="7" t="s">
        <v>32</v>
      </c>
      <c r="C123" s="7" t="s">
        <v>358</v>
      </c>
      <c r="D123" s="8">
        <v>28</v>
      </c>
      <c r="E123" s="8">
        <v>8</v>
      </c>
    </row>
    <row r="124" spans="1:5" x14ac:dyDescent="0.35">
      <c r="A124" s="6">
        <v>46044</v>
      </c>
      <c r="B124" s="7" t="s">
        <v>40</v>
      </c>
      <c r="C124" s="7" t="s">
        <v>358</v>
      </c>
      <c r="D124" s="8">
        <v>18</v>
      </c>
      <c r="E124" s="8">
        <v>8</v>
      </c>
    </row>
    <row r="125" spans="1:5" x14ac:dyDescent="0.35">
      <c r="A125" s="6">
        <v>46044</v>
      </c>
      <c r="B125" s="7" t="s">
        <v>73</v>
      </c>
      <c r="C125" s="7" t="s">
        <v>358</v>
      </c>
      <c r="D125" s="8">
        <v>25</v>
      </c>
      <c r="E125" s="8">
        <v>12</v>
      </c>
    </row>
    <row r="126" spans="1:5" x14ac:dyDescent="0.35">
      <c r="A126" s="6">
        <v>46044</v>
      </c>
      <c r="B126" s="7" t="s">
        <v>44</v>
      </c>
      <c r="C126" s="7" t="s">
        <v>358</v>
      </c>
      <c r="D126" s="8">
        <v>26</v>
      </c>
      <c r="E126" s="8">
        <v>12</v>
      </c>
    </row>
    <row r="127" spans="1:5" x14ac:dyDescent="0.35">
      <c r="A127" s="6">
        <v>46044</v>
      </c>
      <c r="B127" s="7" t="s">
        <v>76</v>
      </c>
      <c r="C127" s="7" t="s">
        <v>358</v>
      </c>
      <c r="D127" s="8">
        <v>13</v>
      </c>
      <c r="E127" s="8">
        <v>7</v>
      </c>
    </row>
    <row r="128" spans="1:5" x14ac:dyDescent="0.35">
      <c r="A128" s="6">
        <v>46044</v>
      </c>
      <c r="B128" s="7" t="s">
        <v>60</v>
      </c>
      <c r="C128" s="7" t="s">
        <v>358</v>
      </c>
      <c r="D128" s="8">
        <v>27</v>
      </c>
      <c r="E128" s="8">
        <v>10</v>
      </c>
    </row>
    <row r="129" spans="1:5" x14ac:dyDescent="0.35">
      <c r="A129" s="6">
        <v>46044</v>
      </c>
      <c r="B129" s="7" t="s">
        <v>79</v>
      </c>
      <c r="C129" s="7" t="s">
        <v>358</v>
      </c>
      <c r="D129" s="8">
        <v>23</v>
      </c>
      <c r="E129" s="8">
        <v>10</v>
      </c>
    </row>
    <row r="130" spans="1:5" x14ac:dyDescent="0.35">
      <c r="A130" s="6">
        <v>46044</v>
      </c>
      <c r="B130" s="7" t="s">
        <v>50</v>
      </c>
      <c r="C130" s="7" t="s">
        <v>358</v>
      </c>
      <c r="D130" s="8">
        <v>44</v>
      </c>
      <c r="E130" s="8">
        <v>18</v>
      </c>
    </row>
    <row r="131" spans="1:5" x14ac:dyDescent="0.35">
      <c r="A131" s="6">
        <v>46044</v>
      </c>
      <c r="B131" s="7" t="s">
        <v>47</v>
      </c>
      <c r="C131" s="7" t="s">
        <v>358</v>
      </c>
      <c r="D131" s="8">
        <v>71</v>
      </c>
      <c r="E131" s="8">
        <v>18</v>
      </c>
    </row>
    <row r="132" spans="1:5" x14ac:dyDescent="0.35">
      <c r="A132" s="6">
        <v>46044</v>
      </c>
      <c r="B132" s="7" t="s">
        <v>36</v>
      </c>
      <c r="C132" s="7" t="s">
        <v>358</v>
      </c>
      <c r="D132" s="8">
        <v>73</v>
      </c>
      <c r="E132" s="8">
        <v>18</v>
      </c>
    </row>
    <row r="133" spans="1:5" x14ac:dyDescent="0.35">
      <c r="A133" s="6">
        <v>46044</v>
      </c>
      <c r="B133" s="7" t="s">
        <v>83</v>
      </c>
      <c r="C133" s="7" t="s">
        <v>358</v>
      </c>
      <c r="D133" s="8">
        <v>50</v>
      </c>
      <c r="E133" s="8">
        <v>14</v>
      </c>
    </row>
    <row r="134" spans="1:5" x14ac:dyDescent="0.35">
      <c r="A134" s="6">
        <v>46044</v>
      </c>
      <c r="B134" s="7" t="s">
        <v>55</v>
      </c>
      <c r="C134" s="7" t="s">
        <v>358</v>
      </c>
      <c r="D134" s="8">
        <v>28</v>
      </c>
      <c r="E134" s="8">
        <v>14</v>
      </c>
    </row>
    <row r="135" spans="1:5" x14ac:dyDescent="0.35">
      <c r="A135" s="6">
        <v>46044</v>
      </c>
      <c r="B135" s="7" t="s">
        <v>32</v>
      </c>
      <c r="C135" s="7" t="s">
        <v>359</v>
      </c>
      <c r="D135" s="8">
        <v>27</v>
      </c>
      <c r="E135" s="8">
        <v>8</v>
      </c>
    </row>
    <row r="136" spans="1:5" x14ac:dyDescent="0.35">
      <c r="A136" s="6">
        <v>46044</v>
      </c>
      <c r="B136" s="7" t="s">
        <v>40</v>
      </c>
      <c r="C136" s="7" t="s">
        <v>359</v>
      </c>
      <c r="D136" s="8">
        <v>14</v>
      </c>
      <c r="E136" s="8">
        <v>8</v>
      </c>
    </row>
    <row r="137" spans="1:5" x14ac:dyDescent="0.35">
      <c r="A137" s="6">
        <v>46044</v>
      </c>
      <c r="B137" s="7" t="s">
        <v>73</v>
      </c>
      <c r="C137" s="7" t="s">
        <v>359</v>
      </c>
      <c r="D137" s="8">
        <v>25</v>
      </c>
      <c r="E137" s="8">
        <v>12</v>
      </c>
    </row>
    <row r="138" spans="1:5" x14ac:dyDescent="0.35">
      <c r="A138" s="6">
        <v>46044</v>
      </c>
      <c r="B138" s="7" t="s">
        <v>44</v>
      </c>
      <c r="C138" s="7" t="s">
        <v>359</v>
      </c>
      <c r="D138" s="8">
        <v>27</v>
      </c>
      <c r="E138" s="8">
        <v>12</v>
      </c>
    </row>
    <row r="139" spans="1:5" x14ac:dyDescent="0.35">
      <c r="A139" s="6">
        <v>46044</v>
      </c>
      <c r="B139" s="7" t="s">
        <v>76</v>
      </c>
      <c r="C139" s="7" t="s">
        <v>359</v>
      </c>
      <c r="D139" s="8">
        <v>24</v>
      </c>
      <c r="E139" s="8">
        <v>7</v>
      </c>
    </row>
    <row r="140" spans="1:5" x14ac:dyDescent="0.35">
      <c r="A140" s="6">
        <v>46044</v>
      </c>
      <c r="B140" s="7" t="s">
        <v>60</v>
      </c>
      <c r="C140" s="7" t="s">
        <v>359</v>
      </c>
      <c r="D140" s="8">
        <v>24</v>
      </c>
      <c r="E140" s="8">
        <v>10</v>
      </c>
    </row>
    <row r="141" spans="1:5" x14ac:dyDescent="0.35">
      <c r="A141" s="6">
        <v>46044</v>
      </c>
      <c r="B141" s="7" t="s">
        <v>79</v>
      </c>
      <c r="C141" s="7" t="s">
        <v>359</v>
      </c>
      <c r="D141" s="8">
        <v>16</v>
      </c>
      <c r="E141" s="8">
        <v>10</v>
      </c>
    </row>
    <row r="142" spans="1:5" x14ac:dyDescent="0.35">
      <c r="A142" s="6">
        <v>46044</v>
      </c>
      <c r="B142" s="7" t="s">
        <v>50</v>
      </c>
      <c r="C142" s="7" t="s">
        <v>359</v>
      </c>
      <c r="D142" s="8">
        <v>83</v>
      </c>
      <c r="E142" s="8">
        <v>18</v>
      </c>
    </row>
    <row r="143" spans="1:5" x14ac:dyDescent="0.35">
      <c r="A143" s="6">
        <v>46044</v>
      </c>
      <c r="B143" s="7" t="s">
        <v>47</v>
      </c>
      <c r="C143" s="7" t="s">
        <v>359</v>
      </c>
      <c r="D143" s="8">
        <v>49</v>
      </c>
      <c r="E143" s="8">
        <v>18</v>
      </c>
    </row>
    <row r="144" spans="1:5" x14ac:dyDescent="0.35">
      <c r="A144" s="6">
        <v>46044</v>
      </c>
      <c r="B144" s="7" t="s">
        <v>36</v>
      </c>
      <c r="C144" s="7" t="s">
        <v>359</v>
      </c>
      <c r="D144" s="8">
        <v>84</v>
      </c>
      <c r="E144" s="8">
        <v>18</v>
      </c>
    </row>
    <row r="145" spans="1:5" x14ac:dyDescent="0.35">
      <c r="A145" s="6">
        <v>46044</v>
      </c>
      <c r="B145" s="7" t="s">
        <v>83</v>
      </c>
      <c r="C145" s="7" t="s">
        <v>359</v>
      </c>
      <c r="D145" s="8">
        <v>25</v>
      </c>
      <c r="E145" s="8">
        <v>14</v>
      </c>
    </row>
    <row r="146" spans="1:5" x14ac:dyDescent="0.35">
      <c r="A146" s="6">
        <v>46044</v>
      </c>
      <c r="B146" s="7" t="s">
        <v>55</v>
      </c>
      <c r="C146" s="7" t="s">
        <v>359</v>
      </c>
      <c r="D146" s="8">
        <v>34</v>
      </c>
      <c r="E146" s="8">
        <v>14</v>
      </c>
    </row>
    <row r="147" spans="1:5" x14ac:dyDescent="0.35">
      <c r="A147" s="6">
        <v>46051</v>
      </c>
      <c r="B147" s="7" t="s">
        <v>32</v>
      </c>
      <c r="C147" s="7" t="s">
        <v>357</v>
      </c>
      <c r="D147" s="8">
        <v>26</v>
      </c>
      <c r="E147" s="8">
        <v>8</v>
      </c>
    </row>
    <row r="148" spans="1:5" x14ac:dyDescent="0.35">
      <c r="A148" s="6">
        <v>46051</v>
      </c>
      <c r="B148" s="7" t="s">
        <v>40</v>
      </c>
      <c r="C148" s="7" t="s">
        <v>357</v>
      </c>
      <c r="D148" s="8">
        <v>30</v>
      </c>
      <c r="E148" s="8">
        <v>8</v>
      </c>
    </row>
    <row r="149" spans="1:5" x14ac:dyDescent="0.35">
      <c r="A149" s="6">
        <v>46051</v>
      </c>
      <c r="B149" s="7" t="s">
        <v>73</v>
      </c>
      <c r="C149" s="7" t="s">
        <v>357</v>
      </c>
      <c r="D149" s="8">
        <v>47</v>
      </c>
      <c r="E149" s="8">
        <v>12</v>
      </c>
    </row>
    <row r="150" spans="1:5" x14ac:dyDescent="0.35">
      <c r="A150" s="6">
        <v>46051</v>
      </c>
      <c r="B150" s="7" t="s">
        <v>44</v>
      </c>
      <c r="C150" s="7" t="s">
        <v>357</v>
      </c>
      <c r="D150" s="8">
        <v>25</v>
      </c>
      <c r="E150" s="8">
        <v>12</v>
      </c>
    </row>
    <row r="151" spans="1:5" x14ac:dyDescent="0.35">
      <c r="A151" s="6">
        <v>46051</v>
      </c>
      <c r="B151" s="7" t="s">
        <v>76</v>
      </c>
      <c r="C151" s="7" t="s">
        <v>357</v>
      </c>
      <c r="D151" s="8">
        <v>30</v>
      </c>
      <c r="E151" s="8">
        <v>7</v>
      </c>
    </row>
    <row r="152" spans="1:5" x14ac:dyDescent="0.35">
      <c r="A152" s="6">
        <v>46051</v>
      </c>
      <c r="B152" s="7" t="s">
        <v>60</v>
      </c>
      <c r="C152" s="7" t="s">
        <v>357</v>
      </c>
      <c r="D152" s="8">
        <v>39</v>
      </c>
      <c r="E152" s="8">
        <v>10</v>
      </c>
    </row>
    <row r="153" spans="1:5" x14ac:dyDescent="0.35">
      <c r="A153" s="6">
        <v>46051</v>
      </c>
      <c r="B153" s="7" t="s">
        <v>79</v>
      </c>
      <c r="C153" s="7" t="s">
        <v>357</v>
      </c>
      <c r="D153" s="8">
        <v>27</v>
      </c>
      <c r="E153" s="8">
        <v>10</v>
      </c>
    </row>
    <row r="154" spans="1:5" x14ac:dyDescent="0.35">
      <c r="A154" s="6">
        <v>46051</v>
      </c>
      <c r="B154" s="7" t="s">
        <v>50</v>
      </c>
      <c r="C154" s="7" t="s">
        <v>357</v>
      </c>
      <c r="D154" s="8">
        <v>47</v>
      </c>
      <c r="E154" s="8">
        <v>18</v>
      </c>
    </row>
    <row r="155" spans="1:5" x14ac:dyDescent="0.35">
      <c r="A155" s="6">
        <v>46051</v>
      </c>
      <c r="B155" s="7" t="s">
        <v>47</v>
      </c>
      <c r="C155" s="7" t="s">
        <v>357</v>
      </c>
      <c r="D155" s="8">
        <v>57</v>
      </c>
      <c r="E155" s="8">
        <v>18</v>
      </c>
    </row>
    <row r="156" spans="1:5" x14ac:dyDescent="0.35">
      <c r="A156" s="6">
        <v>46051</v>
      </c>
      <c r="B156" s="7" t="s">
        <v>36</v>
      </c>
      <c r="C156" s="7" t="s">
        <v>357</v>
      </c>
      <c r="D156" s="8">
        <v>37</v>
      </c>
      <c r="E156" s="8">
        <v>18</v>
      </c>
    </row>
    <row r="157" spans="1:5" x14ac:dyDescent="0.35">
      <c r="A157" s="6">
        <v>46051</v>
      </c>
      <c r="B157" s="7" t="s">
        <v>83</v>
      </c>
      <c r="C157" s="7" t="s">
        <v>357</v>
      </c>
      <c r="D157" s="8">
        <v>21</v>
      </c>
      <c r="E157" s="8">
        <v>14</v>
      </c>
    </row>
    <row r="158" spans="1:5" x14ac:dyDescent="0.35">
      <c r="A158" s="6">
        <v>46051</v>
      </c>
      <c r="B158" s="7" t="s">
        <v>55</v>
      </c>
      <c r="C158" s="7" t="s">
        <v>357</v>
      </c>
      <c r="D158" s="8">
        <v>29</v>
      </c>
      <c r="E158" s="8">
        <v>14</v>
      </c>
    </row>
    <row r="159" spans="1:5" x14ac:dyDescent="0.35">
      <c r="A159" s="6">
        <v>46051</v>
      </c>
      <c r="B159" s="7" t="s">
        <v>32</v>
      </c>
      <c r="C159" s="7" t="s">
        <v>358</v>
      </c>
      <c r="D159" s="8">
        <v>17</v>
      </c>
      <c r="E159" s="8">
        <v>8</v>
      </c>
    </row>
    <row r="160" spans="1:5" x14ac:dyDescent="0.35">
      <c r="A160" s="6">
        <v>46051</v>
      </c>
      <c r="B160" s="7" t="s">
        <v>40</v>
      </c>
      <c r="C160" s="7" t="s">
        <v>358</v>
      </c>
      <c r="D160" s="8">
        <v>12</v>
      </c>
      <c r="E160" s="8">
        <v>8</v>
      </c>
    </row>
    <row r="161" spans="1:5" x14ac:dyDescent="0.35">
      <c r="A161" s="6">
        <v>46051</v>
      </c>
      <c r="B161" s="7" t="s">
        <v>73</v>
      </c>
      <c r="C161" s="7" t="s">
        <v>358</v>
      </c>
      <c r="D161" s="8">
        <v>31</v>
      </c>
      <c r="E161" s="8">
        <v>12</v>
      </c>
    </row>
    <row r="162" spans="1:5" x14ac:dyDescent="0.35">
      <c r="A162" s="6">
        <v>46051</v>
      </c>
      <c r="B162" s="7" t="s">
        <v>44</v>
      </c>
      <c r="C162" s="7" t="s">
        <v>358</v>
      </c>
      <c r="D162" s="8">
        <v>36</v>
      </c>
      <c r="E162" s="8">
        <v>12</v>
      </c>
    </row>
    <row r="163" spans="1:5" x14ac:dyDescent="0.35">
      <c r="A163" s="6">
        <v>46051</v>
      </c>
      <c r="B163" s="7" t="s">
        <v>76</v>
      </c>
      <c r="C163" s="7" t="s">
        <v>358</v>
      </c>
      <c r="D163" s="8">
        <v>16</v>
      </c>
      <c r="E163" s="8">
        <v>7</v>
      </c>
    </row>
    <row r="164" spans="1:5" x14ac:dyDescent="0.35">
      <c r="A164" s="6">
        <v>46051</v>
      </c>
      <c r="B164" s="7" t="s">
        <v>60</v>
      </c>
      <c r="C164" s="7" t="s">
        <v>358</v>
      </c>
      <c r="D164" s="8">
        <v>27</v>
      </c>
      <c r="E164" s="8">
        <v>10</v>
      </c>
    </row>
    <row r="165" spans="1:5" x14ac:dyDescent="0.35">
      <c r="A165" s="6">
        <v>46051</v>
      </c>
      <c r="B165" s="7" t="s">
        <v>79</v>
      </c>
      <c r="C165" s="7" t="s">
        <v>358</v>
      </c>
      <c r="D165" s="8">
        <v>31</v>
      </c>
      <c r="E165" s="8">
        <v>10</v>
      </c>
    </row>
    <row r="166" spans="1:5" x14ac:dyDescent="0.35">
      <c r="A166" s="6">
        <v>46051</v>
      </c>
      <c r="B166" s="7" t="s">
        <v>50</v>
      </c>
      <c r="C166" s="7" t="s">
        <v>358</v>
      </c>
      <c r="D166" s="8">
        <v>43</v>
      </c>
      <c r="E166" s="8">
        <v>18</v>
      </c>
    </row>
    <row r="167" spans="1:5" x14ac:dyDescent="0.35">
      <c r="A167" s="6">
        <v>46051</v>
      </c>
      <c r="B167" s="7" t="s">
        <v>47</v>
      </c>
      <c r="C167" s="7" t="s">
        <v>358</v>
      </c>
      <c r="D167" s="8">
        <v>89</v>
      </c>
      <c r="E167" s="8">
        <v>18</v>
      </c>
    </row>
    <row r="168" spans="1:5" x14ac:dyDescent="0.35">
      <c r="A168" s="6">
        <v>46051</v>
      </c>
      <c r="B168" s="7" t="s">
        <v>36</v>
      </c>
      <c r="C168" s="7" t="s">
        <v>358</v>
      </c>
      <c r="D168" s="8">
        <v>48</v>
      </c>
      <c r="E168" s="8">
        <v>18</v>
      </c>
    </row>
    <row r="169" spans="1:5" x14ac:dyDescent="0.35">
      <c r="A169" s="6">
        <v>46051</v>
      </c>
      <c r="B169" s="7" t="s">
        <v>83</v>
      </c>
      <c r="C169" s="7" t="s">
        <v>358</v>
      </c>
      <c r="D169" s="8">
        <v>37</v>
      </c>
      <c r="E169" s="8">
        <v>14</v>
      </c>
    </row>
    <row r="170" spans="1:5" x14ac:dyDescent="0.35">
      <c r="A170" s="6">
        <v>46051</v>
      </c>
      <c r="B170" s="7" t="s">
        <v>55</v>
      </c>
      <c r="C170" s="7" t="s">
        <v>358</v>
      </c>
      <c r="D170" s="8">
        <v>42</v>
      </c>
      <c r="E170" s="8">
        <v>14</v>
      </c>
    </row>
    <row r="171" spans="1:5" x14ac:dyDescent="0.35">
      <c r="A171" s="6">
        <v>46051</v>
      </c>
      <c r="B171" s="7" t="s">
        <v>32</v>
      </c>
      <c r="C171" s="7" t="s">
        <v>359</v>
      </c>
      <c r="D171" s="8">
        <v>22</v>
      </c>
      <c r="E171" s="8">
        <v>8</v>
      </c>
    </row>
    <row r="172" spans="1:5" x14ac:dyDescent="0.35">
      <c r="A172" s="6">
        <v>46051</v>
      </c>
      <c r="B172" s="7" t="s">
        <v>40</v>
      </c>
      <c r="C172" s="7" t="s">
        <v>359</v>
      </c>
      <c r="D172" s="8">
        <v>12</v>
      </c>
      <c r="E172" s="8">
        <v>8</v>
      </c>
    </row>
    <row r="173" spans="1:5" x14ac:dyDescent="0.35">
      <c r="A173" s="6">
        <v>46051</v>
      </c>
      <c r="B173" s="7" t="s">
        <v>73</v>
      </c>
      <c r="C173" s="7" t="s">
        <v>359</v>
      </c>
      <c r="D173" s="8">
        <v>28</v>
      </c>
      <c r="E173" s="8">
        <v>12</v>
      </c>
    </row>
    <row r="174" spans="1:5" x14ac:dyDescent="0.35">
      <c r="A174" s="6">
        <v>46051</v>
      </c>
      <c r="B174" s="7" t="s">
        <v>44</v>
      </c>
      <c r="C174" s="7" t="s">
        <v>359</v>
      </c>
      <c r="D174" s="8">
        <v>40</v>
      </c>
      <c r="E174" s="8">
        <v>12</v>
      </c>
    </row>
    <row r="175" spans="1:5" x14ac:dyDescent="0.35">
      <c r="A175" s="6">
        <v>46051</v>
      </c>
      <c r="B175" s="7" t="s">
        <v>76</v>
      </c>
      <c r="C175" s="7" t="s">
        <v>359</v>
      </c>
      <c r="D175" s="8">
        <v>10</v>
      </c>
      <c r="E175" s="8">
        <v>7</v>
      </c>
    </row>
    <row r="176" spans="1:5" x14ac:dyDescent="0.35">
      <c r="A176" s="6">
        <v>46051</v>
      </c>
      <c r="B176" s="7" t="s">
        <v>60</v>
      </c>
      <c r="C176" s="7" t="s">
        <v>359</v>
      </c>
      <c r="D176" s="8">
        <v>10</v>
      </c>
      <c r="E176" s="8">
        <v>10</v>
      </c>
    </row>
    <row r="177" spans="1:5" x14ac:dyDescent="0.35">
      <c r="A177" s="6">
        <v>46051</v>
      </c>
      <c r="B177" s="7" t="s">
        <v>79</v>
      </c>
      <c r="C177" s="7" t="s">
        <v>359</v>
      </c>
      <c r="D177" s="8">
        <v>7</v>
      </c>
      <c r="E177" s="8">
        <v>10</v>
      </c>
    </row>
    <row r="178" spans="1:5" x14ac:dyDescent="0.35">
      <c r="A178" s="6">
        <v>46051</v>
      </c>
      <c r="B178" s="7" t="s">
        <v>50</v>
      </c>
      <c r="C178" s="7" t="s">
        <v>359</v>
      </c>
      <c r="D178" s="8">
        <v>77</v>
      </c>
      <c r="E178" s="8">
        <v>18</v>
      </c>
    </row>
    <row r="179" spans="1:5" x14ac:dyDescent="0.35">
      <c r="A179" s="6">
        <v>46051</v>
      </c>
      <c r="B179" s="7" t="s">
        <v>47</v>
      </c>
      <c r="C179" s="7" t="s">
        <v>359</v>
      </c>
      <c r="D179" s="8">
        <v>42</v>
      </c>
      <c r="E179" s="8">
        <v>18</v>
      </c>
    </row>
    <row r="180" spans="1:5" x14ac:dyDescent="0.35">
      <c r="A180" s="6">
        <v>46051</v>
      </c>
      <c r="B180" s="7" t="s">
        <v>36</v>
      </c>
      <c r="C180" s="7" t="s">
        <v>359</v>
      </c>
      <c r="D180" s="8">
        <v>45</v>
      </c>
      <c r="E180" s="8">
        <v>18</v>
      </c>
    </row>
    <row r="181" spans="1:5" x14ac:dyDescent="0.35">
      <c r="A181" s="6">
        <v>46051</v>
      </c>
      <c r="B181" s="7" t="s">
        <v>83</v>
      </c>
      <c r="C181" s="7" t="s">
        <v>359</v>
      </c>
      <c r="D181" s="8">
        <v>44</v>
      </c>
      <c r="E181" s="8">
        <v>14</v>
      </c>
    </row>
    <row r="182" spans="1:5" x14ac:dyDescent="0.35">
      <c r="A182" s="6">
        <v>46051</v>
      </c>
      <c r="B182" s="7" t="s">
        <v>55</v>
      </c>
      <c r="C182" s="7" t="s">
        <v>359</v>
      </c>
      <c r="D182" s="8">
        <v>31</v>
      </c>
      <c r="E182" s="8">
        <v>14</v>
      </c>
    </row>
    <row r="183" spans="1:5" x14ac:dyDescent="0.35">
      <c r="A183" s="6">
        <v>46058</v>
      </c>
      <c r="B183" s="7" t="s">
        <v>32</v>
      </c>
      <c r="C183" s="7" t="s">
        <v>357</v>
      </c>
      <c r="D183" s="8">
        <v>25</v>
      </c>
      <c r="E183" s="8">
        <v>8</v>
      </c>
    </row>
    <row r="184" spans="1:5" x14ac:dyDescent="0.35">
      <c r="A184" s="6">
        <v>46058</v>
      </c>
      <c r="B184" s="7" t="s">
        <v>40</v>
      </c>
      <c r="C184" s="7" t="s">
        <v>357</v>
      </c>
      <c r="D184" s="8">
        <v>24</v>
      </c>
      <c r="E184" s="8">
        <v>8</v>
      </c>
    </row>
    <row r="185" spans="1:5" x14ac:dyDescent="0.35">
      <c r="A185" s="6">
        <v>46058</v>
      </c>
      <c r="B185" s="7" t="s">
        <v>73</v>
      </c>
      <c r="C185" s="7" t="s">
        <v>357</v>
      </c>
      <c r="D185" s="8">
        <v>31</v>
      </c>
      <c r="E185" s="8">
        <v>12</v>
      </c>
    </row>
    <row r="186" spans="1:5" x14ac:dyDescent="0.35">
      <c r="A186" s="6">
        <v>46058</v>
      </c>
      <c r="B186" s="7" t="s">
        <v>44</v>
      </c>
      <c r="C186" s="7" t="s">
        <v>357</v>
      </c>
      <c r="D186" s="8">
        <v>31</v>
      </c>
      <c r="E186" s="8">
        <v>12</v>
      </c>
    </row>
    <row r="187" spans="1:5" x14ac:dyDescent="0.35">
      <c r="A187" s="6">
        <v>46058</v>
      </c>
      <c r="B187" s="7" t="s">
        <v>76</v>
      </c>
      <c r="C187" s="7" t="s">
        <v>357</v>
      </c>
      <c r="D187" s="8">
        <v>12</v>
      </c>
      <c r="E187" s="8">
        <v>7</v>
      </c>
    </row>
    <row r="188" spans="1:5" x14ac:dyDescent="0.35">
      <c r="A188" s="6">
        <v>46058</v>
      </c>
      <c r="B188" s="7" t="s">
        <v>60</v>
      </c>
      <c r="C188" s="7" t="s">
        <v>357</v>
      </c>
      <c r="D188" s="8">
        <v>26</v>
      </c>
      <c r="E188" s="8">
        <v>10</v>
      </c>
    </row>
    <row r="189" spans="1:5" x14ac:dyDescent="0.35">
      <c r="A189" s="6">
        <v>46058</v>
      </c>
      <c r="B189" s="7" t="s">
        <v>79</v>
      </c>
      <c r="C189" s="7" t="s">
        <v>357</v>
      </c>
      <c r="D189" s="8">
        <v>29</v>
      </c>
      <c r="E189" s="8">
        <v>10</v>
      </c>
    </row>
    <row r="190" spans="1:5" x14ac:dyDescent="0.35">
      <c r="A190" s="6">
        <v>46058</v>
      </c>
      <c r="B190" s="7" t="s">
        <v>50</v>
      </c>
      <c r="C190" s="7" t="s">
        <v>357</v>
      </c>
      <c r="D190" s="8">
        <v>62</v>
      </c>
      <c r="E190" s="8">
        <v>18</v>
      </c>
    </row>
    <row r="191" spans="1:5" x14ac:dyDescent="0.35">
      <c r="A191" s="6">
        <v>46058</v>
      </c>
      <c r="B191" s="7" t="s">
        <v>47</v>
      </c>
      <c r="C191" s="7" t="s">
        <v>357</v>
      </c>
      <c r="D191" s="8">
        <v>98</v>
      </c>
      <c r="E191" s="8">
        <v>18</v>
      </c>
    </row>
    <row r="192" spans="1:5" x14ac:dyDescent="0.35">
      <c r="A192" s="6">
        <v>46058</v>
      </c>
      <c r="B192" s="7" t="s">
        <v>36</v>
      </c>
      <c r="C192" s="7" t="s">
        <v>357</v>
      </c>
      <c r="D192" s="8">
        <v>45</v>
      </c>
      <c r="E192" s="8">
        <v>18</v>
      </c>
    </row>
    <row r="193" spans="1:5" x14ac:dyDescent="0.35">
      <c r="A193" s="6">
        <v>46058</v>
      </c>
      <c r="B193" s="7" t="s">
        <v>83</v>
      </c>
      <c r="C193" s="7" t="s">
        <v>357</v>
      </c>
      <c r="D193" s="8">
        <v>38</v>
      </c>
      <c r="E193" s="8">
        <v>14</v>
      </c>
    </row>
    <row r="194" spans="1:5" x14ac:dyDescent="0.35">
      <c r="A194" s="6">
        <v>46058</v>
      </c>
      <c r="B194" s="7" t="s">
        <v>55</v>
      </c>
      <c r="C194" s="7" t="s">
        <v>357</v>
      </c>
      <c r="D194" s="8">
        <v>29</v>
      </c>
      <c r="E194" s="8">
        <v>14</v>
      </c>
    </row>
    <row r="195" spans="1:5" x14ac:dyDescent="0.35">
      <c r="A195" s="6">
        <v>46058</v>
      </c>
      <c r="B195" s="7" t="s">
        <v>32</v>
      </c>
      <c r="C195" s="7" t="s">
        <v>358</v>
      </c>
      <c r="D195" s="8">
        <v>31</v>
      </c>
      <c r="E195" s="8">
        <v>8</v>
      </c>
    </row>
    <row r="196" spans="1:5" x14ac:dyDescent="0.35">
      <c r="A196" s="6">
        <v>46058</v>
      </c>
      <c r="B196" s="7" t="s">
        <v>40</v>
      </c>
      <c r="C196" s="7" t="s">
        <v>358</v>
      </c>
      <c r="D196" s="8">
        <v>19</v>
      </c>
      <c r="E196" s="8">
        <v>8</v>
      </c>
    </row>
    <row r="197" spans="1:5" x14ac:dyDescent="0.35">
      <c r="A197" s="6">
        <v>46058</v>
      </c>
      <c r="B197" s="7" t="s">
        <v>73</v>
      </c>
      <c r="C197" s="7" t="s">
        <v>358</v>
      </c>
      <c r="D197" s="8">
        <v>17</v>
      </c>
      <c r="E197" s="8">
        <v>12</v>
      </c>
    </row>
    <row r="198" spans="1:5" x14ac:dyDescent="0.35">
      <c r="A198" s="6">
        <v>46058</v>
      </c>
      <c r="B198" s="7" t="s">
        <v>44</v>
      </c>
      <c r="C198" s="7" t="s">
        <v>358</v>
      </c>
      <c r="D198" s="8">
        <v>39</v>
      </c>
      <c r="E198" s="8">
        <v>12</v>
      </c>
    </row>
    <row r="199" spans="1:5" x14ac:dyDescent="0.35">
      <c r="A199" s="6">
        <v>46058</v>
      </c>
      <c r="B199" s="7" t="s">
        <v>76</v>
      </c>
      <c r="C199" s="7" t="s">
        <v>358</v>
      </c>
      <c r="D199" s="8">
        <v>16</v>
      </c>
      <c r="E199" s="8">
        <v>7</v>
      </c>
    </row>
    <row r="200" spans="1:5" x14ac:dyDescent="0.35">
      <c r="A200" s="6">
        <v>46058</v>
      </c>
      <c r="B200" s="7" t="s">
        <v>60</v>
      </c>
      <c r="C200" s="7" t="s">
        <v>358</v>
      </c>
      <c r="D200" s="8">
        <v>22</v>
      </c>
      <c r="E200" s="8">
        <v>10</v>
      </c>
    </row>
    <row r="201" spans="1:5" x14ac:dyDescent="0.35">
      <c r="A201" s="6">
        <v>46058</v>
      </c>
      <c r="B201" s="7" t="s">
        <v>79</v>
      </c>
      <c r="C201" s="7" t="s">
        <v>358</v>
      </c>
      <c r="D201" s="8">
        <v>22</v>
      </c>
      <c r="E201" s="8">
        <v>10</v>
      </c>
    </row>
    <row r="202" spans="1:5" x14ac:dyDescent="0.35">
      <c r="A202" s="6">
        <v>46058</v>
      </c>
      <c r="B202" s="7" t="s">
        <v>50</v>
      </c>
      <c r="C202" s="7" t="s">
        <v>358</v>
      </c>
      <c r="D202" s="8">
        <v>57</v>
      </c>
      <c r="E202" s="8">
        <v>18</v>
      </c>
    </row>
    <row r="203" spans="1:5" x14ac:dyDescent="0.35">
      <c r="A203" s="6">
        <v>46058</v>
      </c>
      <c r="B203" s="7" t="s">
        <v>47</v>
      </c>
      <c r="C203" s="7" t="s">
        <v>358</v>
      </c>
      <c r="D203" s="8">
        <v>54</v>
      </c>
      <c r="E203" s="8">
        <v>18</v>
      </c>
    </row>
    <row r="204" spans="1:5" x14ac:dyDescent="0.35">
      <c r="A204" s="6">
        <v>46058</v>
      </c>
      <c r="B204" s="7" t="s">
        <v>36</v>
      </c>
      <c r="C204" s="7" t="s">
        <v>358</v>
      </c>
      <c r="D204" s="8">
        <v>62</v>
      </c>
      <c r="E204" s="8">
        <v>18</v>
      </c>
    </row>
    <row r="205" spans="1:5" x14ac:dyDescent="0.35">
      <c r="A205" s="6">
        <v>46058</v>
      </c>
      <c r="B205" s="7" t="s">
        <v>83</v>
      </c>
      <c r="C205" s="7" t="s">
        <v>358</v>
      </c>
      <c r="D205" s="8">
        <v>49</v>
      </c>
      <c r="E205" s="8">
        <v>14</v>
      </c>
    </row>
    <row r="206" spans="1:5" x14ac:dyDescent="0.35">
      <c r="A206" s="6">
        <v>46058</v>
      </c>
      <c r="B206" s="7" t="s">
        <v>55</v>
      </c>
      <c r="C206" s="7" t="s">
        <v>358</v>
      </c>
      <c r="D206" s="8">
        <v>48</v>
      </c>
      <c r="E206" s="8">
        <v>14</v>
      </c>
    </row>
    <row r="207" spans="1:5" x14ac:dyDescent="0.35">
      <c r="A207" s="6">
        <v>46058</v>
      </c>
      <c r="B207" s="7" t="s">
        <v>32</v>
      </c>
      <c r="C207" s="7" t="s">
        <v>359</v>
      </c>
      <c r="D207" s="8">
        <v>19</v>
      </c>
      <c r="E207" s="8">
        <v>8</v>
      </c>
    </row>
    <row r="208" spans="1:5" x14ac:dyDescent="0.35">
      <c r="A208" s="6">
        <v>46058</v>
      </c>
      <c r="B208" s="7" t="s">
        <v>40</v>
      </c>
      <c r="C208" s="7" t="s">
        <v>359</v>
      </c>
      <c r="D208" s="8">
        <v>33</v>
      </c>
      <c r="E208" s="8">
        <v>8</v>
      </c>
    </row>
    <row r="209" spans="1:5" x14ac:dyDescent="0.35">
      <c r="A209" s="6">
        <v>46058</v>
      </c>
      <c r="B209" s="7" t="s">
        <v>73</v>
      </c>
      <c r="C209" s="7" t="s">
        <v>359</v>
      </c>
      <c r="D209" s="8">
        <v>16</v>
      </c>
      <c r="E209" s="8">
        <v>12</v>
      </c>
    </row>
    <row r="210" spans="1:5" x14ac:dyDescent="0.35">
      <c r="A210" s="6">
        <v>46058</v>
      </c>
      <c r="B210" s="7" t="s">
        <v>44</v>
      </c>
      <c r="C210" s="7" t="s">
        <v>359</v>
      </c>
      <c r="D210" s="8">
        <v>23</v>
      </c>
      <c r="E210" s="8">
        <v>12</v>
      </c>
    </row>
    <row r="211" spans="1:5" x14ac:dyDescent="0.35">
      <c r="A211" s="6">
        <v>46058</v>
      </c>
      <c r="B211" s="7" t="s">
        <v>76</v>
      </c>
      <c r="C211" s="7" t="s">
        <v>359</v>
      </c>
      <c r="D211" s="8">
        <v>7</v>
      </c>
      <c r="E211" s="8">
        <v>7</v>
      </c>
    </row>
    <row r="212" spans="1:5" x14ac:dyDescent="0.35">
      <c r="A212" s="6">
        <v>46058</v>
      </c>
      <c r="B212" s="7" t="s">
        <v>60</v>
      </c>
      <c r="C212" s="7" t="s">
        <v>359</v>
      </c>
      <c r="D212" s="8">
        <v>28</v>
      </c>
      <c r="E212" s="8">
        <v>10</v>
      </c>
    </row>
    <row r="213" spans="1:5" x14ac:dyDescent="0.35">
      <c r="A213" s="6">
        <v>46058</v>
      </c>
      <c r="B213" s="7" t="s">
        <v>79</v>
      </c>
      <c r="C213" s="7" t="s">
        <v>359</v>
      </c>
      <c r="D213" s="8">
        <v>11</v>
      </c>
      <c r="E213" s="8">
        <v>10</v>
      </c>
    </row>
    <row r="214" spans="1:5" x14ac:dyDescent="0.35">
      <c r="A214" s="6">
        <v>46058</v>
      </c>
      <c r="B214" s="7" t="s">
        <v>50</v>
      </c>
      <c r="C214" s="7" t="s">
        <v>359</v>
      </c>
      <c r="D214" s="8">
        <v>94</v>
      </c>
      <c r="E214" s="8">
        <v>18</v>
      </c>
    </row>
    <row r="215" spans="1:5" x14ac:dyDescent="0.35">
      <c r="A215" s="6">
        <v>46058</v>
      </c>
      <c r="B215" s="7" t="s">
        <v>47</v>
      </c>
      <c r="C215" s="7" t="s">
        <v>359</v>
      </c>
      <c r="D215" s="8">
        <v>54</v>
      </c>
      <c r="E215" s="8">
        <v>18</v>
      </c>
    </row>
    <row r="216" spans="1:5" x14ac:dyDescent="0.35">
      <c r="A216" s="6">
        <v>46058</v>
      </c>
      <c r="B216" s="7" t="s">
        <v>36</v>
      </c>
      <c r="C216" s="7" t="s">
        <v>359</v>
      </c>
      <c r="D216" s="8">
        <v>73</v>
      </c>
      <c r="E216" s="8">
        <v>18</v>
      </c>
    </row>
    <row r="217" spans="1:5" x14ac:dyDescent="0.35">
      <c r="A217" s="6">
        <v>46058</v>
      </c>
      <c r="B217" s="7" t="s">
        <v>83</v>
      </c>
      <c r="C217" s="7" t="s">
        <v>359</v>
      </c>
      <c r="D217" s="8">
        <v>51</v>
      </c>
      <c r="E217" s="8">
        <v>14</v>
      </c>
    </row>
    <row r="218" spans="1:5" x14ac:dyDescent="0.35">
      <c r="A218" s="6">
        <v>46058</v>
      </c>
      <c r="B218" s="7" t="s">
        <v>55</v>
      </c>
      <c r="C218" s="7" t="s">
        <v>359</v>
      </c>
      <c r="D218" s="8">
        <v>48</v>
      </c>
      <c r="E218" s="8">
        <v>14</v>
      </c>
    </row>
    <row r="219" spans="1:5" x14ac:dyDescent="0.35">
      <c r="A219" s="6">
        <v>46065</v>
      </c>
      <c r="B219" s="7" t="s">
        <v>32</v>
      </c>
      <c r="C219" s="7" t="s">
        <v>357</v>
      </c>
      <c r="D219" s="8">
        <v>15</v>
      </c>
      <c r="E219" s="8">
        <v>8</v>
      </c>
    </row>
    <row r="220" spans="1:5" x14ac:dyDescent="0.35">
      <c r="A220" s="6">
        <v>46065</v>
      </c>
      <c r="B220" s="7" t="s">
        <v>40</v>
      </c>
      <c r="C220" s="7" t="s">
        <v>357</v>
      </c>
      <c r="D220" s="8">
        <v>19</v>
      </c>
      <c r="E220" s="8">
        <v>8</v>
      </c>
    </row>
    <row r="221" spans="1:5" x14ac:dyDescent="0.35">
      <c r="A221" s="6">
        <v>46065</v>
      </c>
      <c r="B221" s="7" t="s">
        <v>73</v>
      </c>
      <c r="C221" s="7" t="s">
        <v>357</v>
      </c>
      <c r="D221" s="8">
        <v>30</v>
      </c>
      <c r="E221" s="8">
        <v>12</v>
      </c>
    </row>
    <row r="222" spans="1:5" x14ac:dyDescent="0.35">
      <c r="A222" s="6">
        <v>46065</v>
      </c>
      <c r="B222" s="7" t="s">
        <v>44</v>
      </c>
      <c r="C222" s="7" t="s">
        <v>357</v>
      </c>
      <c r="D222" s="8">
        <v>34</v>
      </c>
      <c r="E222" s="8">
        <v>12</v>
      </c>
    </row>
    <row r="223" spans="1:5" x14ac:dyDescent="0.35">
      <c r="A223" s="6">
        <v>46065</v>
      </c>
      <c r="B223" s="7" t="s">
        <v>76</v>
      </c>
      <c r="C223" s="7" t="s">
        <v>357</v>
      </c>
      <c r="D223" s="8">
        <v>13</v>
      </c>
      <c r="E223" s="8">
        <v>7</v>
      </c>
    </row>
    <row r="224" spans="1:5" x14ac:dyDescent="0.35">
      <c r="A224" s="6">
        <v>46065</v>
      </c>
      <c r="B224" s="7" t="s">
        <v>60</v>
      </c>
      <c r="C224" s="7" t="s">
        <v>357</v>
      </c>
      <c r="D224" s="8">
        <v>28</v>
      </c>
      <c r="E224" s="8">
        <v>10</v>
      </c>
    </row>
    <row r="225" spans="1:5" x14ac:dyDescent="0.35">
      <c r="A225" s="6">
        <v>46065</v>
      </c>
      <c r="B225" s="7" t="s">
        <v>79</v>
      </c>
      <c r="C225" s="7" t="s">
        <v>357</v>
      </c>
      <c r="D225" s="8">
        <v>32</v>
      </c>
      <c r="E225" s="8">
        <v>10</v>
      </c>
    </row>
    <row r="226" spans="1:5" x14ac:dyDescent="0.35">
      <c r="A226" s="6">
        <v>46065</v>
      </c>
      <c r="B226" s="7" t="s">
        <v>50</v>
      </c>
      <c r="C226" s="7" t="s">
        <v>357</v>
      </c>
      <c r="D226" s="8">
        <v>68</v>
      </c>
      <c r="E226" s="8">
        <v>18</v>
      </c>
    </row>
    <row r="227" spans="1:5" x14ac:dyDescent="0.35">
      <c r="A227" s="6">
        <v>46065</v>
      </c>
      <c r="B227" s="7" t="s">
        <v>47</v>
      </c>
      <c r="C227" s="7" t="s">
        <v>357</v>
      </c>
      <c r="D227" s="8">
        <v>87</v>
      </c>
      <c r="E227" s="8">
        <v>18</v>
      </c>
    </row>
    <row r="228" spans="1:5" x14ac:dyDescent="0.35">
      <c r="A228" s="6">
        <v>46065</v>
      </c>
      <c r="B228" s="7" t="s">
        <v>36</v>
      </c>
      <c r="C228" s="7" t="s">
        <v>357</v>
      </c>
      <c r="D228" s="8">
        <v>59</v>
      </c>
      <c r="E228" s="8">
        <v>18</v>
      </c>
    </row>
    <row r="229" spans="1:5" x14ac:dyDescent="0.35">
      <c r="A229" s="6">
        <v>46065</v>
      </c>
      <c r="B229" s="7" t="s">
        <v>83</v>
      </c>
      <c r="C229" s="7" t="s">
        <v>357</v>
      </c>
      <c r="D229" s="8">
        <v>41</v>
      </c>
      <c r="E229" s="8">
        <v>14</v>
      </c>
    </row>
    <row r="230" spans="1:5" x14ac:dyDescent="0.35">
      <c r="A230" s="6">
        <v>46065</v>
      </c>
      <c r="B230" s="7" t="s">
        <v>55</v>
      </c>
      <c r="C230" s="7" t="s">
        <v>357</v>
      </c>
      <c r="D230" s="8">
        <v>37</v>
      </c>
      <c r="E230" s="8">
        <v>14</v>
      </c>
    </row>
    <row r="231" spans="1:5" x14ac:dyDescent="0.35">
      <c r="A231" s="6">
        <v>46065</v>
      </c>
      <c r="B231" s="7" t="s">
        <v>32</v>
      </c>
      <c r="C231" s="7" t="s">
        <v>358</v>
      </c>
      <c r="D231" s="8">
        <v>19</v>
      </c>
      <c r="E231" s="8">
        <v>8</v>
      </c>
    </row>
    <row r="232" spans="1:5" x14ac:dyDescent="0.35">
      <c r="A232" s="6">
        <v>46065</v>
      </c>
      <c r="B232" s="7" t="s">
        <v>40</v>
      </c>
      <c r="C232" s="7" t="s">
        <v>358</v>
      </c>
      <c r="D232" s="8">
        <v>21</v>
      </c>
      <c r="E232" s="8">
        <v>8</v>
      </c>
    </row>
    <row r="233" spans="1:5" x14ac:dyDescent="0.35">
      <c r="A233" s="6">
        <v>46065</v>
      </c>
      <c r="B233" s="7" t="s">
        <v>73</v>
      </c>
      <c r="C233" s="7" t="s">
        <v>358</v>
      </c>
      <c r="D233" s="8">
        <v>15</v>
      </c>
      <c r="E233" s="8">
        <v>12</v>
      </c>
    </row>
    <row r="234" spans="1:5" x14ac:dyDescent="0.35">
      <c r="A234" s="6">
        <v>46065</v>
      </c>
      <c r="B234" s="7" t="s">
        <v>44</v>
      </c>
      <c r="C234" s="7" t="s">
        <v>358</v>
      </c>
      <c r="D234" s="8">
        <v>13</v>
      </c>
      <c r="E234" s="8">
        <v>12</v>
      </c>
    </row>
    <row r="235" spans="1:5" x14ac:dyDescent="0.35">
      <c r="A235" s="6">
        <v>46065</v>
      </c>
      <c r="B235" s="7" t="s">
        <v>76</v>
      </c>
      <c r="C235" s="7" t="s">
        <v>358</v>
      </c>
      <c r="D235" s="8">
        <v>14</v>
      </c>
      <c r="E235" s="8">
        <v>7</v>
      </c>
    </row>
    <row r="236" spans="1:5" x14ac:dyDescent="0.35">
      <c r="A236" s="6">
        <v>46065</v>
      </c>
      <c r="B236" s="7" t="s">
        <v>60</v>
      </c>
      <c r="C236" s="7" t="s">
        <v>358</v>
      </c>
      <c r="D236" s="8">
        <v>7</v>
      </c>
      <c r="E236" s="8">
        <v>10</v>
      </c>
    </row>
    <row r="237" spans="1:5" x14ac:dyDescent="0.35">
      <c r="A237" s="6">
        <v>46065</v>
      </c>
      <c r="B237" s="7" t="s">
        <v>79</v>
      </c>
      <c r="C237" s="7" t="s">
        <v>358</v>
      </c>
      <c r="D237" s="8">
        <v>19</v>
      </c>
      <c r="E237" s="8">
        <v>10</v>
      </c>
    </row>
    <row r="238" spans="1:5" x14ac:dyDescent="0.35">
      <c r="A238" s="6">
        <v>46065</v>
      </c>
      <c r="B238" s="7" t="s">
        <v>50</v>
      </c>
      <c r="C238" s="7" t="s">
        <v>358</v>
      </c>
      <c r="D238" s="8">
        <v>88</v>
      </c>
      <c r="E238" s="8">
        <v>18</v>
      </c>
    </row>
    <row r="239" spans="1:5" x14ac:dyDescent="0.35">
      <c r="A239" s="6">
        <v>46065</v>
      </c>
      <c r="B239" s="7" t="s">
        <v>47</v>
      </c>
      <c r="C239" s="7" t="s">
        <v>358</v>
      </c>
      <c r="D239" s="8">
        <v>66</v>
      </c>
      <c r="E239" s="8">
        <v>18</v>
      </c>
    </row>
    <row r="240" spans="1:5" x14ac:dyDescent="0.35">
      <c r="A240" s="6">
        <v>46065</v>
      </c>
      <c r="B240" s="7" t="s">
        <v>36</v>
      </c>
      <c r="C240" s="7" t="s">
        <v>358</v>
      </c>
      <c r="D240" s="8">
        <v>47</v>
      </c>
      <c r="E240" s="8">
        <v>18</v>
      </c>
    </row>
    <row r="241" spans="1:5" x14ac:dyDescent="0.35">
      <c r="A241" s="6">
        <v>46065</v>
      </c>
      <c r="B241" s="7" t="s">
        <v>83</v>
      </c>
      <c r="C241" s="7" t="s">
        <v>358</v>
      </c>
      <c r="D241" s="8">
        <v>41</v>
      </c>
      <c r="E241" s="8">
        <v>14</v>
      </c>
    </row>
    <row r="242" spans="1:5" x14ac:dyDescent="0.35">
      <c r="A242" s="6">
        <v>46065</v>
      </c>
      <c r="B242" s="7" t="s">
        <v>55</v>
      </c>
      <c r="C242" s="7" t="s">
        <v>358</v>
      </c>
      <c r="D242" s="8">
        <v>37</v>
      </c>
      <c r="E242" s="8">
        <v>14</v>
      </c>
    </row>
    <row r="243" spans="1:5" x14ac:dyDescent="0.35">
      <c r="A243" s="6">
        <v>46065</v>
      </c>
      <c r="B243" s="7" t="s">
        <v>32</v>
      </c>
      <c r="C243" s="7" t="s">
        <v>359</v>
      </c>
      <c r="D243" s="8">
        <v>8</v>
      </c>
      <c r="E243" s="8">
        <v>8</v>
      </c>
    </row>
    <row r="244" spans="1:5" x14ac:dyDescent="0.35">
      <c r="A244" s="6">
        <v>46065</v>
      </c>
      <c r="B244" s="7" t="s">
        <v>40</v>
      </c>
      <c r="C244" s="7" t="s">
        <v>359</v>
      </c>
      <c r="D244" s="8">
        <v>22</v>
      </c>
      <c r="E244" s="8">
        <v>8</v>
      </c>
    </row>
    <row r="245" spans="1:5" x14ac:dyDescent="0.35">
      <c r="A245" s="6">
        <v>46065</v>
      </c>
      <c r="B245" s="7" t="s">
        <v>73</v>
      </c>
      <c r="C245" s="7" t="s">
        <v>359</v>
      </c>
      <c r="D245" s="8">
        <v>16</v>
      </c>
      <c r="E245" s="8">
        <v>12</v>
      </c>
    </row>
    <row r="246" spans="1:5" x14ac:dyDescent="0.35">
      <c r="A246" s="6">
        <v>46065</v>
      </c>
      <c r="B246" s="7" t="s">
        <v>44</v>
      </c>
      <c r="C246" s="7" t="s">
        <v>359</v>
      </c>
      <c r="D246" s="8">
        <v>31</v>
      </c>
      <c r="E246" s="8">
        <v>12</v>
      </c>
    </row>
    <row r="247" spans="1:5" x14ac:dyDescent="0.35">
      <c r="A247" s="6">
        <v>46065</v>
      </c>
      <c r="B247" s="7" t="s">
        <v>76</v>
      </c>
      <c r="C247" s="7" t="s">
        <v>359</v>
      </c>
      <c r="D247" s="8">
        <v>9</v>
      </c>
      <c r="E247" s="8">
        <v>7</v>
      </c>
    </row>
    <row r="248" spans="1:5" x14ac:dyDescent="0.35">
      <c r="A248" s="6">
        <v>46065</v>
      </c>
      <c r="B248" s="7" t="s">
        <v>60</v>
      </c>
      <c r="C248" s="7" t="s">
        <v>359</v>
      </c>
      <c r="D248" s="8">
        <v>21</v>
      </c>
      <c r="E248" s="8">
        <v>10</v>
      </c>
    </row>
    <row r="249" spans="1:5" x14ac:dyDescent="0.35">
      <c r="A249" s="6">
        <v>46065</v>
      </c>
      <c r="B249" s="7" t="s">
        <v>79</v>
      </c>
      <c r="C249" s="7" t="s">
        <v>359</v>
      </c>
      <c r="D249" s="8">
        <v>5</v>
      </c>
      <c r="E249" s="8">
        <v>10</v>
      </c>
    </row>
    <row r="250" spans="1:5" x14ac:dyDescent="0.35">
      <c r="A250" s="6">
        <v>46065</v>
      </c>
      <c r="B250" s="7" t="s">
        <v>50</v>
      </c>
      <c r="C250" s="7" t="s">
        <v>359</v>
      </c>
      <c r="D250" s="8">
        <v>78</v>
      </c>
      <c r="E250" s="8">
        <v>18</v>
      </c>
    </row>
    <row r="251" spans="1:5" x14ac:dyDescent="0.35">
      <c r="A251" s="6">
        <v>46065</v>
      </c>
      <c r="B251" s="7" t="s">
        <v>47</v>
      </c>
      <c r="C251" s="7" t="s">
        <v>359</v>
      </c>
      <c r="D251" s="8">
        <v>58</v>
      </c>
      <c r="E251" s="8">
        <v>18</v>
      </c>
    </row>
    <row r="252" spans="1:5" x14ac:dyDescent="0.35">
      <c r="A252" s="6">
        <v>46065</v>
      </c>
      <c r="B252" s="7" t="s">
        <v>36</v>
      </c>
      <c r="C252" s="7" t="s">
        <v>359</v>
      </c>
      <c r="D252" s="8">
        <v>37</v>
      </c>
      <c r="E252" s="8">
        <v>18</v>
      </c>
    </row>
    <row r="253" spans="1:5" x14ac:dyDescent="0.35">
      <c r="A253" s="6">
        <v>46065</v>
      </c>
      <c r="B253" s="7" t="s">
        <v>83</v>
      </c>
      <c r="C253" s="7" t="s">
        <v>359</v>
      </c>
      <c r="D253" s="8">
        <v>45</v>
      </c>
      <c r="E253" s="8">
        <v>14</v>
      </c>
    </row>
    <row r="254" spans="1:5" x14ac:dyDescent="0.35">
      <c r="A254" s="6">
        <v>46065</v>
      </c>
      <c r="B254" s="7" t="s">
        <v>55</v>
      </c>
      <c r="C254" s="7" t="s">
        <v>359</v>
      </c>
      <c r="D254" s="8">
        <v>26</v>
      </c>
      <c r="E254" s="8">
        <v>14</v>
      </c>
    </row>
    <row r="255" spans="1:5" x14ac:dyDescent="0.35">
      <c r="A255" s="6">
        <v>46072</v>
      </c>
      <c r="B255" s="7" t="s">
        <v>32</v>
      </c>
      <c r="C255" s="7" t="s">
        <v>357</v>
      </c>
      <c r="D255" s="8">
        <v>18</v>
      </c>
      <c r="E255" s="8">
        <v>8</v>
      </c>
    </row>
    <row r="256" spans="1:5" x14ac:dyDescent="0.35">
      <c r="A256" s="6">
        <v>46072</v>
      </c>
      <c r="B256" s="7" t="s">
        <v>40</v>
      </c>
      <c r="C256" s="7" t="s">
        <v>357</v>
      </c>
      <c r="D256" s="8">
        <v>13</v>
      </c>
      <c r="E256" s="8">
        <v>8</v>
      </c>
    </row>
    <row r="257" spans="1:5" x14ac:dyDescent="0.35">
      <c r="A257" s="6">
        <v>46072</v>
      </c>
      <c r="B257" s="7" t="s">
        <v>73</v>
      </c>
      <c r="C257" s="7" t="s">
        <v>357</v>
      </c>
      <c r="D257" s="8">
        <v>41</v>
      </c>
      <c r="E257" s="8">
        <v>12</v>
      </c>
    </row>
    <row r="258" spans="1:5" x14ac:dyDescent="0.35">
      <c r="A258" s="6">
        <v>46072</v>
      </c>
      <c r="B258" s="7" t="s">
        <v>44</v>
      </c>
      <c r="C258" s="7" t="s">
        <v>357</v>
      </c>
      <c r="D258" s="8">
        <v>23</v>
      </c>
      <c r="E258" s="8">
        <v>12</v>
      </c>
    </row>
    <row r="259" spans="1:5" x14ac:dyDescent="0.35">
      <c r="A259" s="6">
        <v>46072</v>
      </c>
      <c r="B259" s="7" t="s">
        <v>76</v>
      </c>
      <c r="C259" s="7" t="s">
        <v>357</v>
      </c>
      <c r="D259" s="8">
        <v>32</v>
      </c>
      <c r="E259" s="8">
        <v>7</v>
      </c>
    </row>
    <row r="260" spans="1:5" x14ac:dyDescent="0.35">
      <c r="A260" s="6">
        <v>46072</v>
      </c>
      <c r="B260" s="7" t="s">
        <v>60</v>
      </c>
      <c r="C260" s="7" t="s">
        <v>357</v>
      </c>
      <c r="D260" s="8">
        <v>29</v>
      </c>
      <c r="E260" s="8">
        <v>10</v>
      </c>
    </row>
    <row r="261" spans="1:5" x14ac:dyDescent="0.35">
      <c r="A261" s="6">
        <v>46072</v>
      </c>
      <c r="B261" s="7" t="s">
        <v>79</v>
      </c>
      <c r="C261" s="7" t="s">
        <v>357</v>
      </c>
      <c r="D261" s="8">
        <v>30</v>
      </c>
      <c r="E261" s="8">
        <v>10</v>
      </c>
    </row>
    <row r="262" spans="1:5" x14ac:dyDescent="0.35">
      <c r="A262" s="6">
        <v>46072</v>
      </c>
      <c r="B262" s="7" t="s">
        <v>50</v>
      </c>
      <c r="C262" s="7" t="s">
        <v>357</v>
      </c>
      <c r="D262" s="8">
        <v>35</v>
      </c>
      <c r="E262" s="8">
        <v>18</v>
      </c>
    </row>
    <row r="263" spans="1:5" x14ac:dyDescent="0.35">
      <c r="A263" s="6">
        <v>46072</v>
      </c>
      <c r="B263" s="7" t="s">
        <v>47</v>
      </c>
      <c r="C263" s="7" t="s">
        <v>357</v>
      </c>
      <c r="D263" s="8">
        <v>45</v>
      </c>
      <c r="E263" s="8">
        <v>18</v>
      </c>
    </row>
    <row r="264" spans="1:5" x14ac:dyDescent="0.35">
      <c r="A264" s="6">
        <v>46072</v>
      </c>
      <c r="B264" s="7" t="s">
        <v>36</v>
      </c>
      <c r="C264" s="7" t="s">
        <v>357</v>
      </c>
      <c r="D264" s="8">
        <v>73</v>
      </c>
      <c r="E264" s="8">
        <v>18</v>
      </c>
    </row>
    <row r="265" spans="1:5" x14ac:dyDescent="0.35">
      <c r="A265" s="6">
        <v>46072</v>
      </c>
      <c r="B265" s="7" t="s">
        <v>83</v>
      </c>
      <c r="C265" s="7" t="s">
        <v>357</v>
      </c>
      <c r="D265" s="8">
        <v>20</v>
      </c>
      <c r="E265" s="8">
        <v>14</v>
      </c>
    </row>
    <row r="266" spans="1:5" x14ac:dyDescent="0.35">
      <c r="A266" s="6">
        <v>46072</v>
      </c>
      <c r="B266" s="7" t="s">
        <v>55</v>
      </c>
      <c r="C266" s="7" t="s">
        <v>357</v>
      </c>
      <c r="D266" s="8">
        <v>40</v>
      </c>
      <c r="E266" s="8">
        <v>14</v>
      </c>
    </row>
    <row r="267" spans="1:5" x14ac:dyDescent="0.35">
      <c r="A267" s="6">
        <v>46072</v>
      </c>
      <c r="B267" s="7" t="s">
        <v>32</v>
      </c>
      <c r="C267" s="7" t="s">
        <v>358</v>
      </c>
      <c r="D267" s="8">
        <v>26</v>
      </c>
      <c r="E267" s="8">
        <v>8</v>
      </c>
    </row>
    <row r="268" spans="1:5" x14ac:dyDescent="0.35">
      <c r="A268" s="6">
        <v>46072</v>
      </c>
      <c r="B268" s="7" t="s">
        <v>40</v>
      </c>
      <c r="C268" s="7" t="s">
        <v>358</v>
      </c>
      <c r="D268" s="8">
        <v>17</v>
      </c>
      <c r="E268" s="8">
        <v>8</v>
      </c>
    </row>
    <row r="269" spans="1:5" x14ac:dyDescent="0.35">
      <c r="A269" s="6">
        <v>46072</v>
      </c>
      <c r="B269" s="7" t="s">
        <v>73</v>
      </c>
      <c r="C269" s="7" t="s">
        <v>358</v>
      </c>
      <c r="D269" s="8">
        <v>27</v>
      </c>
      <c r="E269" s="8">
        <v>12</v>
      </c>
    </row>
    <row r="270" spans="1:5" x14ac:dyDescent="0.35">
      <c r="A270" s="6">
        <v>46072</v>
      </c>
      <c r="B270" s="7" t="s">
        <v>44</v>
      </c>
      <c r="C270" s="7" t="s">
        <v>358</v>
      </c>
      <c r="D270" s="8">
        <v>16</v>
      </c>
      <c r="E270" s="8">
        <v>12</v>
      </c>
    </row>
    <row r="271" spans="1:5" x14ac:dyDescent="0.35">
      <c r="A271" s="6">
        <v>46072</v>
      </c>
      <c r="B271" s="7" t="s">
        <v>76</v>
      </c>
      <c r="C271" s="7" t="s">
        <v>358</v>
      </c>
      <c r="D271" s="8">
        <v>21</v>
      </c>
      <c r="E271" s="8">
        <v>7</v>
      </c>
    </row>
    <row r="272" spans="1:5" x14ac:dyDescent="0.35">
      <c r="A272" s="6">
        <v>46072</v>
      </c>
      <c r="B272" s="7" t="s">
        <v>60</v>
      </c>
      <c r="C272" s="7" t="s">
        <v>358</v>
      </c>
      <c r="D272" s="8">
        <v>5</v>
      </c>
      <c r="E272" s="8">
        <v>10</v>
      </c>
    </row>
    <row r="273" spans="1:5" x14ac:dyDescent="0.35">
      <c r="A273" s="6">
        <v>46072</v>
      </c>
      <c r="B273" s="7" t="s">
        <v>79</v>
      </c>
      <c r="C273" s="7" t="s">
        <v>358</v>
      </c>
      <c r="D273" s="8">
        <v>22</v>
      </c>
      <c r="E273" s="8">
        <v>10</v>
      </c>
    </row>
    <row r="274" spans="1:5" x14ac:dyDescent="0.35">
      <c r="A274" s="6">
        <v>46072</v>
      </c>
      <c r="B274" s="7" t="s">
        <v>50</v>
      </c>
      <c r="C274" s="7" t="s">
        <v>358</v>
      </c>
      <c r="D274" s="8">
        <v>54</v>
      </c>
      <c r="E274" s="8">
        <v>18</v>
      </c>
    </row>
    <row r="275" spans="1:5" x14ac:dyDescent="0.35">
      <c r="A275" s="6">
        <v>46072</v>
      </c>
      <c r="B275" s="7" t="s">
        <v>47</v>
      </c>
      <c r="C275" s="7" t="s">
        <v>358</v>
      </c>
      <c r="D275" s="8">
        <v>75</v>
      </c>
      <c r="E275" s="8">
        <v>18</v>
      </c>
    </row>
    <row r="276" spans="1:5" x14ac:dyDescent="0.35">
      <c r="A276" s="6">
        <v>46072</v>
      </c>
      <c r="B276" s="7" t="s">
        <v>36</v>
      </c>
      <c r="C276" s="7" t="s">
        <v>358</v>
      </c>
      <c r="D276" s="8">
        <v>58</v>
      </c>
      <c r="E276" s="8">
        <v>18</v>
      </c>
    </row>
    <row r="277" spans="1:5" x14ac:dyDescent="0.35">
      <c r="A277" s="6">
        <v>46072</v>
      </c>
      <c r="B277" s="7" t="s">
        <v>83</v>
      </c>
      <c r="C277" s="7" t="s">
        <v>358</v>
      </c>
      <c r="D277" s="8">
        <v>47</v>
      </c>
      <c r="E277" s="8">
        <v>14</v>
      </c>
    </row>
    <row r="278" spans="1:5" x14ac:dyDescent="0.35">
      <c r="A278" s="6">
        <v>46072</v>
      </c>
      <c r="B278" s="7" t="s">
        <v>55</v>
      </c>
      <c r="C278" s="7" t="s">
        <v>358</v>
      </c>
      <c r="D278" s="8">
        <v>21</v>
      </c>
      <c r="E278" s="8">
        <v>14</v>
      </c>
    </row>
    <row r="279" spans="1:5" x14ac:dyDescent="0.35">
      <c r="A279" s="6">
        <v>46072</v>
      </c>
      <c r="B279" s="7" t="s">
        <v>32</v>
      </c>
      <c r="C279" s="7" t="s">
        <v>359</v>
      </c>
      <c r="D279" s="8">
        <v>13</v>
      </c>
      <c r="E279" s="8">
        <v>8</v>
      </c>
    </row>
    <row r="280" spans="1:5" x14ac:dyDescent="0.35">
      <c r="A280" s="6">
        <v>46072</v>
      </c>
      <c r="B280" s="7" t="s">
        <v>40</v>
      </c>
      <c r="C280" s="7" t="s">
        <v>359</v>
      </c>
      <c r="D280" s="8">
        <v>19</v>
      </c>
      <c r="E280" s="8">
        <v>8</v>
      </c>
    </row>
    <row r="281" spans="1:5" x14ac:dyDescent="0.35">
      <c r="A281" s="6">
        <v>46072</v>
      </c>
      <c r="B281" s="7" t="s">
        <v>73</v>
      </c>
      <c r="C281" s="7" t="s">
        <v>359</v>
      </c>
      <c r="D281" s="8">
        <v>28</v>
      </c>
      <c r="E281" s="8">
        <v>12</v>
      </c>
    </row>
    <row r="282" spans="1:5" x14ac:dyDescent="0.35">
      <c r="A282" s="6">
        <v>46072</v>
      </c>
      <c r="B282" s="7" t="s">
        <v>44</v>
      </c>
      <c r="C282" s="7" t="s">
        <v>359</v>
      </c>
      <c r="D282" s="8">
        <v>13</v>
      </c>
      <c r="E282" s="8">
        <v>12</v>
      </c>
    </row>
    <row r="283" spans="1:5" x14ac:dyDescent="0.35">
      <c r="A283" s="6">
        <v>46072</v>
      </c>
      <c r="B283" s="7" t="s">
        <v>76</v>
      </c>
      <c r="C283" s="7" t="s">
        <v>359</v>
      </c>
      <c r="D283" s="8">
        <v>14</v>
      </c>
      <c r="E283" s="8">
        <v>7</v>
      </c>
    </row>
    <row r="284" spans="1:5" x14ac:dyDescent="0.35">
      <c r="A284" s="6">
        <v>46072</v>
      </c>
      <c r="B284" s="7" t="s">
        <v>60</v>
      </c>
      <c r="C284" s="7" t="s">
        <v>359</v>
      </c>
      <c r="D284" s="8">
        <v>15</v>
      </c>
      <c r="E284" s="8">
        <v>10</v>
      </c>
    </row>
    <row r="285" spans="1:5" x14ac:dyDescent="0.35">
      <c r="A285" s="6">
        <v>46072</v>
      </c>
      <c r="B285" s="7" t="s">
        <v>79</v>
      </c>
      <c r="C285" s="7" t="s">
        <v>359</v>
      </c>
      <c r="D285" s="8">
        <v>18</v>
      </c>
      <c r="E285" s="8">
        <v>10</v>
      </c>
    </row>
    <row r="286" spans="1:5" x14ac:dyDescent="0.35">
      <c r="A286" s="6">
        <v>46072</v>
      </c>
      <c r="B286" s="7" t="s">
        <v>50</v>
      </c>
      <c r="C286" s="7" t="s">
        <v>359</v>
      </c>
      <c r="D286" s="8">
        <v>42</v>
      </c>
      <c r="E286" s="8">
        <v>18</v>
      </c>
    </row>
    <row r="287" spans="1:5" x14ac:dyDescent="0.35">
      <c r="A287" s="6">
        <v>46072</v>
      </c>
      <c r="B287" s="7" t="s">
        <v>47</v>
      </c>
      <c r="C287" s="7" t="s">
        <v>359</v>
      </c>
      <c r="D287" s="8">
        <v>57</v>
      </c>
      <c r="E287" s="8">
        <v>18</v>
      </c>
    </row>
    <row r="288" spans="1:5" x14ac:dyDescent="0.35">
      <c r="A288" s="6">
        <v>46072</v>
      </c>
      <c r="B288" s="7" t="s">
        <v>36</v>
      </c>
      <c r="C288" s="7" t="s">
        <v>359</v>
      </c>
      <c r="D288" s="8">
        <v>79</v>
      </c>
      <c r="E288" s="8">
        <v>18</v>
      </c>
    </row>
    <row r="289" spans="1:5" x14ac:dyDescent="0.35">
      <c r="A289" s="6">
        <v>46072</v>
      </c>
      <c r="B289" s="7" t="s">
        <v>83</v>
      </c>
      <c r="C289" s="7" t="s">
        <v>359</v>
      </c>
      <c r="D289" s="8">
        <v>18</v>
      </c>
      <c r="E289" s="8">
        <v>14</v>
      </c>
    </row>
    <row r="290" spans="1:5" x14ac:dyDescent="0.35">
      <c r="A290" s="6">
        <v>46072</v>
      </c>
      <c r="B290" s="7" t="s">
        <v>55</v>
      </c>
      <c r="C290" s="7" t="s">
        <v>359</v>
      </c>
      <c r="D290" s="8">
        <v>22</v>
      </c>
      <c r="E290" s="8">
        <v>14</v>
      </c>
    </row>
    <row r="291" spans="1:5" x14ac:dyDescent="0.35">
      <c r="A291" s="6">
        <v>46079</v>
      </c>
      <c r="B291" s="7" t="s">
        <v>32</v>
      </c>
      <c r="C291" s="7" t="s">
        <v>357</v>
      </c>
      <c r="D291" s="8">
        <v>28</v>
      </c>
      <c r="E291" s="8">
        <v>8</v>
      </c>
    </row>
    <row r="292" spans="1:5" x14ac:dyDescent="0.35">
      <c r="A292" s="6">
        <v>46079</v>
      </c>
      <c r="B292" s="7" t="s">
        <v>40</v>
      </c>
      <c r="C292" s="7" t="s">
        <v>357</v>
      </c>
      <c r="D292" s="8">
        <v>6</v>
      </c>
      <c r="E292" s="8">
        <v>8</v>
      </c>
    </row>
    <row r="293" spans="1:5" x14ac:dyDescent="0.35">
      <c r="A293" s="6">
        <v>46079</v>
      </c>
      <c r="B293" s="7" t="s">
        <v>73</v>
      </c>
      <c r="C293" s="7" t="s">
        <v>357</v>
      </c>
      <c r="D293" s="8">
        <v>33</v>
      </c>
      <c r="E293" s="8">
        <v>12</v>
      </c>
    </row>
    <row r="294" spans="1:5" x14ac:dyDescent="0.35">
      <c r="A294" s="6">
        <v>46079</v>
      </c>
      <c r="B294" s="7" t="s">
        <v>44</v>
      </c>
      <c r="C294" s="7" t="s">
        <v>357</v>
      </c>
      <c r="D294" s="8">
        <v>45</v>
      </c>
      <c r="E294" s="8">
        <v>12</v>
      </c>
    </row>
    <row r="295" spans="1:5" x14ac:dyDescent="0.35">
      <c r="A295" s="6">
        <v>46079</v>
      </c>
      <c r="B295" s="7" t="s">
        <v>76</v>
      </c>
      <c r="C295" s="7" t="s">
        <v>357</v>
      </c>
      <c r="D295" s="8">
        <v>33</v>
      </c>
      <c r="E295" s="8">
        <v>7</v>
      </c>
    </row>
    <row r="296" spans="1:5" x14ac:dyDescent="0.35">
      <c r="A296" s="6">
        <v>46079</v>
      </c>
      <c r="B296" s="7" t="s">
        <v>60</v>
      </c>
      <c r="C296" s="7" t="s">
        <v>357</v>
      </c>
      <c r="D296" s="8">
        <v>37</v>
      </c>
      <c r="E296" s="8">
        <v>10</v>
      </c>
    </row>
    <row r="297" spans="1:5" x14ac:dyDescent="0.35">
      <c r="A297" s="6">
        <v>46079</v>
      </c>
      <c r="B297" s="7" t="s">
        <v>79</v>
      </c>
      <c r="C297" s="7" t="s">
        <v>357</v>
      </c>
      <c r="D297" s="8">
        <v>14</v>
      </c>
      <c r="E297" s="8">
        <v>10</v>
      </c>
    </row>
    <row r="298" spans="1:5" x14ac:dyDescent="0.35">
      <c r="A298" s="6">
        <v>46079</v>
      </c>
      <c r="B298" s="7" t="s">
        <v>50</v>
      </c>
      <c r="C298" s="7" t="s">
        <v>357</v>
      </c>
      <c r="D298" s="8">
        <v>82</v>
      </c>
      <c r="E298" s="8">
        <v>18</v>
      </c>
    </row>
    <row r="299" spans="1:5" x14ac:dyDescent="0.35">
      <c r="A299" s="6">
        <v>46079</v>
      </c>
      <c r="B299" s="7" t="s">
        <v>47</v>
      </c>
      <c r="C299" s="7" t="s">
        <v>357</v>
      </c>
      <c r="D299" s="8">
        <v>72</v>
      </c>
      <c r="E299" s="8">
        <v>18</v>
      </c>
    </row>
    <row r="300" spans="1:5" x14ac:dyDescent="0.35">
      <c r="A300" s="6">
        <v>46079</v>
      </c>
      <c r="B300" s="7" t="s">
        <v>36</v>
      </c>
      <c r="C300" s="7" t="s">
        <v>357</v>
      </c>
      <c r="D300" s="8">
        <v>77</v>
      </c>
      <c r="E300" s="8">
        <v>18</v>
      </c>
    </row>
    <row r="301" spans="1:5" x14ac:dyDescent="0.35">
      <c r="A301" s="6">
        <v>46079</v>
      </c>
      <c r="B301" s="7" t="s">
        <v>83</v>
      </c>
      <c r="C301" s="7" t="s">
        <v>357</v>
      </c>
      <c r="D301" s="8">
        <v>50</v>
      </c>
      <c r="E301" s="8">
        <v>14</v>
      </c>
    </row>
    <row r="302" spans="1:5" x14ac:dyDescent="0.35">
      <c r="A302" s="6">
        <v>46079</v>
      </c>
      <c r="B302" s="7" t="s">
        <v>55</v>
      </c>
      <c r="C302" s="7" t="s">
        <v>357</v>
      </c>
      <c r="D302" s="8">
        <v>20</v>
      </c>
      <c r="E302" s="8">
        <v>14</v>
      </c>
    </row>
    <row r="303" spans="1:5" x14ac:dyDescent="0.35">
      <c r="A303" s="6">
        <v>46079</v>
      </c>
      <c r="B303" s="7" t="s">
        <v>32</v>
      </c>
      <c r="C303" s="7" t="s">
        <v>358</v>
      </c>
      <c r="D303" s="8">
        <v>5</v>
      </c>
      <c r="E303" s="8">
        <v>8</v>
      </c>
    </row>
    <row r="304" spans="1:5" x14ac:dyDescent="0.35">
      <c r="A304" s="6">
        <v>46079</v>
      </c>
      <c r="B304" s="7" t="s">
        <v>40</v>
      </c>
      <c r="C304" s="7" t="s">
        <v>358</v>
      </c>
      <c r="D304" s="8">
        <v>5</v>
      </c>
      <c r="E304" s="8">
        <v>8</v>
      </c>
    </row>
    <row r="305" spans="1:5" x14ac:dyDescent="0.35">
      <c r="A305" s="6">
        <v>46079</v>
      </c>
      <c r="B305" s="7" t="s">
        <v>73</v>
      </c>
      <c r="C305" s="7" t="s">
        <v>358</v>
      </c>
      <c r="D305" s="8">
        <v>20</v>
      </c>
      <c r="E305" s="8">
        <v>12</v>
      </c>
    </row>
    <row r="306" spans="1:5" x14ac:dyDescent="0.35">
      <c r="A306" s="6">
        <v>46079</v>
      </c>
      <c r="B306" s="7" t="s">
        <v>44</v>
      </c>
      <c r="C306" s="7" t="s">
        <v>358</v>
      </c>
      <c r="D306" s="8">
        <v>20</v>
      </c>
      <c r="E306" s="8">
        <v>12</v>
      </c>
    </row>
    <row r="307" spans="1:5" x14ac:dyDescent="0.35">
      <c r="A307" s="6">
        <v>46079</v>
      </c>
      <c r="B307" s="7" t="s">
        <v>76</v>
      </c>
      <c r="C307" s="7" t="s">
        <v>358</v>
      </c>
      <c r="D307" s="8">
        <v>20</v>
      </c>
      <c r="E307" s="8">
        <v>7</v>
      </c>
    </row>
    <row r="308" spans="1:5" x14ac:dyDescent="0.35">
      <c r="A308" s="6">
        <v>46079</v>
      </c>
      <c r="B308" s="7" t="s">
        <v>60</v>
      </c>
      <c r="C308" s="7" t="s">
        <v>358</v>
      </c>
      <c r="D308" s="8">
        <v>0</v>
      </c>
      <c r="E308" s="8">
        <v>10</v>
      </c>
    </row>
    <row r="309" spans="1:5" x14ac:dyDescent="0.35">
      <c r="A309" s="6">
        <v>46079</v>
      </c>
      <c r="B309" s="7" t="s">
        <v>79</v>
      </c>
      <c r="C309" s="7" t="s">
        <v>358</v>
      </c>
      <c r="D309" s="8">
        <v>27</v>
      </c>
      <c r="E309" s="8">
        <v>10</v>
      </c>
    </row>
    <row r="310" spans="1:5" x14ac:dyDescent="0.35">
      <c r="A310" s="6">
        <v>46079</v>
      </c>
      <c r="B310" s="7" t="s">
        <v>50</v>
      </c>
      <c r="C310" s="7" t="s">
        <v>358</v>
      </c>
      <c r="D310" s="8">
        <v>53</v>
      </c>
      <c r="E310" s="8">
        <v>18</v>
      </c>
    </row>
    <row r="311" spans="1:5" x14ac:dyDescent="0.35">
      <c r="A311" s="6">
        <v>46079</v>
      </c>
      <c r="B311" s="7" t="s">
        <v>47</v>
      </c>
      <c r="C311" s="7" t="s">
        <v>358</v>
      </c>
      <c r="D311" s="8">
        <v>84</v>
      </c>
      <c r="E311" s="8">
        <v>18</v>
      </c>
    </row>
    <row r="312" spans="1:5" x14ac:dyDescent="0.35">
      <c r="A312" s="6">
        <v>46079</v>
      </c>
      <c r="B312" s="7" t="s">
        <v>36</v>
      </c>
      <c r="C312" s="7" t="s">
        <v>358</v>
      </c>
      <c r="D312" s="8">
        <v>62</v>
      </c>
      <c r="E312" s="8">
        <v>18</v>
      </c>
    </row>
    <row r="313" spans="1:5" x14ac:dyDescent="0.35">
      <c r="A313" s="6">
        <v>46079</v>
      </c>
      <c r="B313" s="7" t="s">
        <v>83</v>
      </c>
      <c r="C313" s="7" t="s">
        <v>358</v>
      </c>
      <c r="D313" s="8">
        <v>35</v>
      </c>
      <c r="E313" s="8">
        <v>14</v>
      </c>
    </row>
    <row r="314" spans="1:5" x14ac:dyDescent="0.35">
      <c r="A314" s="6">
        <v>46079</v>
      </c>
      <c r="B314" s="7" t="s">
        <v>55</v>
      </c>
      <c r="C314" s="7" t="s">
        <v>358</v>
      </c>
      <c r="D314" s="8">
        <v>23</v>
      </c>
      <c r="E314" s="8">
        <v>14</v>
      </c>
    </row>
    <row r="315" spans="1:5" x14ac:dyDescent="0.35">
      <c r="A315" s="6">
        <v>46079</v>
      </c>
      <c r="B315" s="7" t="s">
        <v>32</v>
      </c>
      <c r="C315" s="7" t="s">
        <v>359</v>
      </c>
      <c r="D315" s="8">
        <v>1</v>
      </c>
      <c r="E315" s="8">
        <v>8</v>
      </c>
    </row>
    <row r="316" spans="1:5" x14ac:dyDescent="0.35">
      <c r="A316" s="6">
        <v>46079</v>
      </c>
      <c r="B316" s="7" t="s">
        <v>40</v>
      </c>
      <c r="C316" s="7" t="s">
        <v>359</v>
      </c>
      <c r="D316" s="8">
        <v>18</v>
      </c>
      <c r="E316" s="8">
        <v>8</v>
      </c>
    </row>
    <row r="317" spans="1:5" x14ac:dyDescent="0.35">
      <c r="A317" s="6">
        <v>46079</v>
      </c>
      <c r="B317" s="7" t="s">
        <v>73</v>
      </c>
      <c r="C317" s="7" t="s">
        <v>359</v>
      </c>
      <c r="D317" s="8">
        <v>15</v>
      </c>
      <c r="E317" s="8">
        <v>12</v>
      </c>
    </row>
    <row r="318" spans="1:5" x14ac:dyDescent="0.35">
      <c r="A318" s="6">
        <v>46079</v>
      </c>
      <c r="B318" s="7" t="s">
        <v>44</v>
      </c>
      <c r="C318" s="7" t="s">
        <v>359</v>
      </c>
      <c r="D318" s="8">
        <v>23</v>
      </c>
      <c r="E318" s="8">
        <v>12</v>
      </c>
    </row>
    <row r="319" spans="1:5" x14ac:dyDescent="0.35">
      <c r="A319" s="6">
        <v>46079</v>
      </c>
      <c r="B319" s="7" t="s">
        <v>76</v>
      </c>
      <c r="C319" s="7" t="s">
        <v>359</v>
      </c>
      <c r="D319" s="8">
        <v>0</v>
      </c>
      <c r="E319" s="8">
        <v>7</v>
      </c>
    </row>
    <row r="320" spans="1:5" x14ac:dyDescent="0.35">
      <c r="A320" s="6">
        <v>46079</v>
      </c>
      <c r="B320" s="7" t="s">
        <v>60</v>
      </c>
      <c r="C320" s="7" t="s">
        <v>359</v>
      </c>
      <c r="D320" s="8">
        <v>11</v>
      </c>
      <c r="E320" s="8">
        <v>10</v>
      </c>
    </row>
    <row r="321" spans="1:5" x14ac:dyDescent="0.35">
      <c r="A321" s="6">
        <v>46079</v>
      </c>
      <c r="B321" s="7" t="s">
        <v>79</v>
      </c>
      <c r="C321" s="7" t="s">
        <v>359</v>
      </c>
      <c r="D321" s="8">
        <v>23</v>
      </c>
      <c r="E321" s="8">
        <v>10</v>
      </c>
    </row>
    <row r="322" spans="1:5" x14ac:dyDescent="0.35">
      <c r="A322" s="6">
        <v>46079</v>
      </c>
      <c r="B322" s="7" t="s">
        <v>50</v>
      </c>
      <c r="C322" s="7" t="s">
        <v>359</v>
      </c>
      <c r="D322" s="8">
        <v>65</v>
      </c>
      <c r="E322" s="8">
        <v>18</v>
      </c>
    </row>
    <row r="323" spans="1:5" x14ac:dyDescent="0.35">
      <c r="A323" s="6">
        <v>46079</v>
      </c>
      <c r="B323" s="7" t="s">
        <v>47</v>
      </c>
      <c r="C323" s="7" t="s">
        <v>359</v>
      </c>
      <c r="D323" s="8">
        <v>34</v>
      </c>
      <c r="E323" s="8">
        <v>18</v>
      </c>
    </row>
    <row r="324" spans="1:5" x14ac:dyDescent="0.35">
      <c r="A324" s="6">
        <v>46079</v>
      </c>
      <c r="B324" s="7" t="s">
        <v>36</v>
      </c>
      <c r="C324" s="7" t="s">
        <v>359</v>
      </c>
      <c r="D324" s="8">
        <v>68</v>
      </c>
      <c r="E324" s="8">
        <v>18</v>
      </c>
    </row>
    <row r="325" spans="1:5" x14ac:dyDescent="0.35">
      <c r="A325" s="6">
        <v>46079</v>
      </c>
      <c r="B325" s="7" t="s">
        <v>83</v>
      </c>
      <c r="C325" s="7" t="s">
        <v>359</v>
      </c>
      <c r="D325" s="8">
        <v>45</v>
      </c>
      <c r="E325" s="8">
        <v>14</v>
      </c>
    </row>
    <row r="326" spans="1:5" x14ac:dyDescent="0.35">
      <c r="A326" s="6">
        <v>46079</v>
      </c>
      <c r="B326" s="7" t="s">
        <v>55</v>
      </c>
      <c r="C326" s="7" t="s">
        <v>359</v>
      </c>
      <c r="D326" s="8">
        <v>42</v>
      </c>
      <c r="E326" s="8">
        <v>14</v>
      </c>
    </row>
    <row r="327" spans="1:5" x14ac:dyDescent="0.35">
      <c r="A327" s="6">
        <v>46086</v>
      </c>
      <c r="B327" s="7" t="s">
        <v>32</v>
      </c>
      <c r="C327" s="7" t="s">
        <v>357</v>
      </c>
      <c r="D327" s="8">
        <v>14</v>
      </c>
      <c r="E327" s="8">
        <v>8</v>
      </c>
    </row>
    <row r="328" spans="1:5" x14ac:dyDescent="0.35">
      <c r="A328" s="6">
        <v>46086</v>
      </c>
      <c r="B328" s="7" t="s">
        <v>40</v>
      </c>
      <c r="C328" s="7" t="s">
        <v>357</v>
      </c>
      <c r="D328" s="8">
        <v>19</v>
      </c>
      <c r="E328" s="8">
        <v>8</v>
      </c>
    </row>
    <row r="329" spans="1:5" x14ac:dyDescent="0.35">
      <c r="A329" s="6">
        <v>46086</v>
      </c>
      <c r="B329" s="7" t="s">
        <v>73</v>
      </c>
      <c r="C329" s="7" t="s">
        <v>357</v>
      </c>
      <c r="D329" s="8">
        <v>28</v>
      </c>
      <c r="E329" s="8">
        <v>12</v>
      </c>
    </row>
    <row r="330" spans="1:5" x14ac:dyDescent="0.35">
      <c r="A330" s="6">
        <v>46086</v>
      </c>
      <c r="B330" s="7" t="s">
        <v>44</v>
      </c>
      <c r="C330" s="7" t="s">
        <v>357</v>
      </c>
      <c r="D330" s="8">
        <v>6</v>
      </c>
      <c r="E330" s="8">
        <v>12</v>
      </c>
    </row>
    <row r="331" spans="1:5" x14ac:dyDescent="0.35">
      <c r="A331" s="6">
        <v>46086</v>
      </c>
      <c r="B331" s="7" t="s">
        <v>76</v>
      </c>
      <c r="C331" s="7" t="s">
        <v>357</v>
      </c>
      <c r="D331" s="8">
        <v>2</v>
      </c>
      <c r="E331" s="8">
        <v>7</v>
      </c>
    </row>
    <row r="332" spans="1:5" x14ac:dyDescent="0.35">
      <c r="A332" s="6">
        <v>46086</v>
      </c>
      <c r="B332" s="7" t="s">
        <v>60</v>
      </c>
      <c r="C332" s="7" t="s">
        <v>357</v>
      </c>
      <c r="D332" s="8">
        <v>43</v>
      </c>
      <c r="E332" s="8">
        <v>10</v>
      </c>
    </row>
    <row r="333" spans="1:5" x14ac:dyDescent="0.35">
      <c r="A333" s="6">
        <v>46086</v>
      </c>
      <c r="B333" s="7" t="s">
        <v>79</v>
      </c>
      <c r="C333" s="7" t="s">
        <v>357</v>
      </c>
      <c r="D333" s="8">
        <v>33</v>
      </c>
      <c r="E333" s="8">
        <v>10</v>
      </c>
    </row>
    <row r="334" spans="1:5" x14ac:dyDescent="0.35">
      <c r="A334" s="6">
        <v>46086</v>
      </c>
      <c r="B334" s="7" t="s">
        <v>50</v>
      </c>
      <c r="C334" s="7" t="s">
        <v>357</v>
      </c>
      <c r="D334" s="8">
        <v>48</v>
      </c>
      <c r="E334" s="8">
        <v>18</v>
      </c>
    </row>
    <row r="335" spans="1:5" x14ac:dyDescent="0.35">
      <c r="A335" s="6">
        <v>46086</v>
      </c>
      <c r="B335" s="7" t="s">
        <v>47</v>
      </c>
      <c r="C335" s="7" t="s">
        <v>357</v>
      </c>
      <c r="D335" s="8">
        <v>69</v>
      </c>
      <c r="E335" s="8">
        <v>18</v>
      </c>
    </row>
    <row r="336" spans="1:5" x14ac:dyDescent="0.35">
      <c r="A336" s="6">
        <v>46086</v>
      </c>
      <c r="B336" s="7" t="s">
        <v>36</v>
      </c>
      <c r="C336" s="7" t="s">
        <v>357</v>
      </c>
      <c r="D336" s="8">
        <v>95</v>
      </c>
      <c r="E336" s="8">
        <v>18</v>
      </c>
    </row>
    <row r="337" spans="1:5" x14ac:dyDescent="0.35">
      <c r="A337" s="6">
        <v>46086</v>
      </c>
      <c r="B337" s="7" t="s">
        <v>83</v>
      </c>
      <c r="C337" s="7" t="s">
        <v>357</v>
      </c>
      <c r="D337" s="8">
        <v>53</v>
      </c>
      <c r="E337" s="8">
        <v>14</v>
      </c>
    </row>
    <row r="338" spans="1:5" x14ac:dyDescent="0.35">
      <c r="A338" s="6">
        <v>46086</v>
      </c>
      <c r="B338" s="7" t="s">
        <v>55</v>
      </c>
      <c r="C338" s="7" t="s">
        <v>357</v>
      </c>
      <c r="D338" s="8">
        <v>65</v>
      </c>
      <c r="E338" s="8">
        <v>14</v>
      </c>
    </row>
    <row r="339" spans="1:5" x14ac:dyDescent="0.35">
      <c r="A339" s="6">
        <v>46086</v>
      </c>
      <c r="B339" s="7" t="s">
        <v>32</v>
      </c>
      <c r="C339" s="7" t="s">
        <v>358</v>
      </c>
      <c r="D339" s="8">
        <v>9</v>
      </c>
      <c r="E339" s="8">
        <v>8</v>
      </c>
    </row>
    <row r="340" spans="1:5" x14ac:dyDescent="0.35">
      <c r="A340" s="6">
        <v>46086</v>
      </c>
      <c r="B340" s="7" t="s">
        <v>40</v>
      </c>
      <c r="C340" s="7" t="s">
        <v>358</v>
      </c>
      <c r="D340" s="8">
        <v>14</v>
      </c>
      <c r="E340" s="8">
        <v>8</v>
      </c>
    </row>
    <row r="341" spans="1:5" x14ac:dyDescent="0.35">
      <c r="A341" s="6">
        <v>46086</v>
      </c>
      <c r="B341" s="7" t="s">
        <v>73</v>
      </c>
      <c r="C341" s="7" t="s">
        <v>358</v>
      </c>
      <c r="D341" s="8">
        <v>26</v>
      </c>
      <c r="E341" s="8">
        <v>12</v>
      </c>
    </row>
    <row r="342" spans="1:5" x14ac:dyDescent="0.35">
      <c r="A342" s="6">
        <v>46086</v>
      </c>
      <c r="B342" s="7" t="s">
        <v>44</v>
      </c>
      <c r="C342" s="7" t="s">
        <v>358</v>
      </c>
      <c r="D342" s="8">
        <v>35</v>
      </c>
      <c r="E342" s="8">
        <v>12</v>
      </c>
    </row>
    <row r="343" spans="1:5" x14ac:dyDescent="0.35">
      <c r="A343" s="6">
        <v>46086</v>
      </c>
      <c r="B343" s="7" t="s">
        <v>76</v>
      </c>
      <c r="C343" s="7" t="s">
        <v>358</v>
      </c>
      <c r="D343" s="8">
        <v>0</v>
      </c>
      <c r="E343" s="8">
        <v>7</v>
      </c>
    </row>
    <row r="344" spans="1:5" x14ac:dyDescent="0.35">
      <c r="A344" s="6">
        <v>46086</v>
      </c>
      <c r="B344" s="7" t="s">
        <v>60</v>
      </c>
      <c r="C344" s="7" t="s">
        <v>358</v>
      </c>
      <c r="D344" s="8">
        <v>25</v>
      </c>
      <c r="E344" s="8">
        <v>10</v>
      </c>
    </row>
    <row r="345" spans="1:5" x14ac:dyDescent="0.35">
      <c r="A345" s="6">
        <v>46086</v>
      </c>
      <c r="B345" s="7" t="s">
        <v>79</v>
      </c>
      <c r="C345" s="7" t="s">
        <v>358</v>
      </c>
      <c r="D345" s="8">
        <v>3</v>
      </c>
      <c r="E345" s="8">
        <v>10</v>
      </c>
    </row>
    <row r="346" spans="1:5" x14ac:dyDescent="0.35">
      <c r="A346" s="6">
        <v>46086</v>
      </c>
      <c r="B346" s="7" t="s">
        <v>50</v>
      </c>
      <c r="C346" s="7" t="s">
        <v>358</v>
      </c>
      <c r="D346" s="8">
        <v>96</v>
      </c>
      <c r="E346" s="8">
        <v>18</v>
      </c>
    </row>
    <row r="347" spans="1:5" x14ac:dyDescent="0.35">
      <c r="A347" s="6">
        <v>46086</v>
      </c>
      <c r="B347" s="7" t="s">
        <v>47</v>
      </c>
      <c r="C347" s="7" t="s">
        <v>358</v>
      </c>
      <c r="D347" s="8">
        <v>75</v>
      </c>
      <c r="E347" s="8">
        <v>18</v>
      </c>
    </row>
    <row r="348" spans="1:5" x14ac:dyDescent="0.35">
      <c r="A348" s="6">
        <v>46086</v>
      </c>
      <c r="B348" s="7" t="s">
        <v>36</v>
      </c>
      <c r="C348" s="7" t="s">
        <v>358</v>
      </c>
      <c r="D348" s="8">
        <v>72</v>
      </c>
      <c r="E348" s="8">
        <v>18</v>
      </c>
    </row>
    <row r="349" spans="1:5" x14ac:dyDescent="0.35">
      <c r="A349" s="6">
        <v>46086</v>
      </c>
      <c r="B349" s="7" t="s">
        <v>83</v>
      </c>
      <c r="C349" s="7" t="s">
        <v>358</v>
      </c>
      <c r="D349" s="8">
        <v>42</v>
      </c>
      <c r="E349" s="8">
        <v>14</v>
      </c>
    </row>
    <row r="350" spans="1:5" x14ac:dyDescent="0.35">
      <c r="A350" s="6">
        <v>46086</v>
      </c>
      <c r="B350" s="7" t="s">
        <v>55</v>
      </c>
      <c r="C350" s="7" t="s">
        <v>358</v>
      </c>
      <c r="D350" s="8">
        <v>21</v>
      </c>
      <c r="E350" s="8">
        <v>14</v>
      </c>
    </row>
    <row r="351" spans="1:5" x14ac:dyDescent="0.35">
      <c r="A351" s="6">
        <v>46086</v>
      </c>
      <c r="B351" s="7" t="s">
        <v>32</v>
      </c>
      <c r="C351" s="7" t="s">
        <v>359</v>
      </c>
      <c r="D351" s="8">
        <v>20</v>
      </c>
      <c r="E351" s="8">
        <v>8</v>
      </c>
    </row>
    <row r="352" spans="1:5" x14ac:dyDescent="0.35">
      <c r="A352" s="6">
        <v>46086</v>
      </c>
      <c r="B352" s="7" t="s">
        <v>40</v>
      </c>
      <c r="C352" s="7" t="s">
        <v>359</v>
      </c>
      <c r="D352" s="8">
        <v>22</v>
      </c>
      <c r="E352" s="8">
        <v>8</v>
      </c>
    </row>
    <row r="353" spans="1:5" x14ac:dyDescent="0.35">
      <c r="A353" s="6">
        <v>46086</v>
      </c>
      <c r="B353" s="7" t="s">
        <v>73</v>
      </c>
      <c r="C353" s="7" t="s">
        <v>359</v>
      </c>
      <c r="D353" s="8">
        <v>28</v>
      </c>
      <c r="E353" s="8">
        <v>12</v>
      </c>
    </row>
    <row r="354" spans="1:5" x14ac:dyDescent="0.35">
      <c r="A354" s="6">
        <v>46086</v>
      </c>
      <c r="B354" s="7" t="s">
        <v>44</v>
      </c>
      <c r="C354" s="7" t="s">
        <v>359</v>
      </c>
      <c r="D354" s="8">
        <v>28</v>
      </c>
      <c r="E354" s="8">
        <v>12</v>
      </c>
    </row>
    <row r="355" spans="1:5" x14ac:dyDescent="0.35">
      <c r="A355" s="6">
        <v>46086</v>
      </c>
      <c r="B355" s="7" t="s">
        <v>76</v>
      </c>
      <c r="C355" s="7" t="s">
        <v>359</v>
      </c>
      <c r="D355" s="8">
        <v>11</v>
      </c>
      <c r="E355" s="8">
        <v>7</v>
      </c>
    </row>
    <row r="356" spans="1:5" x14ac:dyDescent="0.35">
      <c r="A356" s="6">
        <v>46086</v>
      </c>
      <c r="B356" s="7" t="s">
        <v>60</v>
      </c>
      <c r="C356" s="7" t="s">
        <v>359</v>
      </c>
      <c r="D356" s="8">
        <v>2</v>
      </c>
      <c r="E356" s="8">
        <v>10</v>
      </c>
    </row>
    <row r="357" spans="1:5" x14ac:dyDescent="0.35">
      <c r="A357" s="6">
        <v>46086</v>
      </c>
      <c r="B357" s="7" t="s">
        <v>79</v>
      </c>
      <c r="C357" s="7" t="s">
        <v>359</v>
      </c>
      <c r="D357" s="8">
        <v>31</v>
      </c>
      <c r="E357" s="8">
        <v>10</v>
      </c>
    </row>
    <row r="358" spans="1:5" x14ac:dyDescent="0.35">
      <c r="A358" s="6">
        <v>46086</v>
      </c>
      <c r="B358" s="7" t="s">
        <v>50</v>
      </c>
      <c r="C358" s="7" t="s">
        <v>359</v>
      </c>
      <c r="D358" s="8">
        <v>56</v>
      </c>
      <c r="E358" s="8">
        <v>18</v>
      </c>
    </row>
    <row r="359" spans="1:5" x14ac:dyDescent="0.35">
      <c r="A359" s="6">
        <v>46086</v>
      </c>
      <c r="B359" s="7" t="s">
        <v>47</v>
      </c>
      <c r="C359" s="7" t="s">
        <v>359</v>
      </c>
      <c r="D359" s="8">
        <v>74</v>
      </c>
      <c r="E359" s="8">
        <v>18</v>
      </c>
    </row>
    <row r="360" spans="1:5" x14ac:dyDescent="0.35">
      <c r="A360" s="6">
        <v>46086</v>
      </c>
      <c r="B360" s="7" t="s">
        <v>36</v>
      </c>
      <c r="C360" s="7" t="s">
        <v>359</v>
      </c>
      <c r="D360" s="8">
        <v>80</v>
      </c>
      <c r="E360" s="8">
        <v>18</v>
      </c>
    </row>
    <row r="361" spans="1:5" x14ac:dyDescent="0.35">
      <c r="A361" s="6">
        <v>46086</v>
      </c>
      <c r="B361" s="7" t="s">
        <v>83</v>
      </c>
      <c r="C361" s="7" t="s">
        <v>359</v>
      </c>
      <c r="D361" s="8">
        <v>58</v>
      </c>
      <c r="E361" s="8">
        <v>14</v>
      </c>
    </row>
    <row r="362" spans="1:5" x14ac:dyDescent="0.35">
      <c r="A362" s="6">
        <v>46086</v>
      </c>
      <c r="B362" s="7" t="s">
        <v>55</v>
      </c>
      <c r="C362" s="7" t="s">
        <v>359</v>
      </c>
      <c r="D362" s="8">
        <v>28</v>
      </c>
      <c r="E362" s="8">
        <v>14</v>
      </c>
    </row>
    <row r="363" spans="1:5" x14ac:dyDescent="0.35">
      <c r="A363" s="6">
        <v>46093</v>
      </c>
      <c r="B363" s="7" t="s">
        <v>32</v>
      </c>
      <c r="C363" s="7" t="s">
        <v>357</v>
      </c>
      <c r="D363" s="8">
        <v>15</v>
      </c>
      <c r="E363" s="8">
        <v>8</v>
      </c>
    </row>
    <row r="364" spans="1:5" x14ac:dyDescent="0.35">
      <c r="A364" s="6">
        <v>46093</v>
      </c>
      <c r="B364" s="7" t="s">
        <v>40</v>
      </c>
      <c r="C364" s="7" t="s">
        <v>357</v>
      </c>
      <c r="D364" s="8">
        <v>25</v>
      </c>
      <c r="E364" s="8">
        <v>8</v>
      </c>
    </row>
    <row r="365" spans="1:5" x14ac:dyDescent="0.35">
      <c r="A365" s="6">
        <v>46093</v>
      </c>
      <c r="B365" s="7" t="s">
        <v>73</v>
      </c>
      <c r="C365" s="7" t="s">
        <v>357</v>
      </c>
      <c r="D365" s="8">
        <v>25</v>
      </c>
      <c r="E365" s="8">
        <v>12</v>
      </c>
    </row>
    <row r="366" spans="1:5" x14ac:dyDescent="0.35">
      <c r="A366" s="6">
        <v>46093</v>
      </c>
      <c r="B366" s="7" t="s">
        <v>44</v>
      </c>
      <c r="C366" s="7" t="s">
        <v>357</v>
      </c>
      <c r="D366" s="8">
        <v>24</v>
      </c>
      <c r="E366" s="8">
        <v>12</v>
      </c>
    </row>
    <row r="367" spans="1:5" x14ac:dyDescent="0.35">
      <c r="A367" s="6">
        <v>46093</v>
      </c>
      <c r="B367" s="7" t="s">
        <v>76</v>
      </c>
      <c r="C367" s="7" t="s">
        <v>357</v>
      </c>
      <c r="D367" s="8">
        <v>4</v>
      </c>
      <c r="E367" s="8">
        <v>7</v>
      </c>
    </row>
    <row r="368" spans="1:5" x14ac:dyDescent="0.35">
      <c r="A368" s="6">
        <v>46093</v>
      </c>
      <c r="B368" s="7" t="s">
        <v>60</v>
      </c>
      <c r="C368" s="7" t="s">
        <v>357</v>
      </c>
      <c r="D368" s="8">
        <v>0</v>
      </c>
      <c r="E368" s="8">
        <v>10</v>
      </c>
    </row>
    <row r="369" spans="1:5" x14ac:dyDescent="0.35">
      <c r="A369" s="6">
        <v>46093</v>
      </c>
      <c r="B369" s="7" t="s">
        <v>79</v>
      </c>
      <c r="C369" s="7" t="s">
        <v>357</v>
      </c>
      <c r="D369" s="8">
        <v>33</v>
      </c>
      <c r="E369" s="8">
        <v>10</v>
      </c>
    </row>
    <row r="370" spans="1:5" x14ac:dyDescent="0.35">
      <c r="A370" s="6">
        <v>46093</v>
      </c>
      <c r="B370" s="7" t="s">
        <v>50</v>
      </c>
      <c r="C370" s="7" t="s">
        <v>357</v>
      </c>
      <c r="D370" s="8">
        <v>60</v>
      </c>
      <c r="E370" s="8">
        <v>18</v>
      </c>
    </row>
    <row r="371" spans="1:5" x14ac:dyDescent="0.35">
      <c r="A371" s="6">
        <v>46093</v>
      </c>
      <c r="B371" s="7" t="s">
        <v>47</v>
      </c>
      <c r="C371" s="7" t="s">
        <v>357</v>
      </c>
      <c r="D371" s="8">
        <v>84</v>
      </c>
      <c r="E371" s="8">
        <v>18</v>
      </c>
    </row>
    <row r="372" spans="1:5" x14ac:dyDescent="0.35">
      <c r="A372" s="6">
        <v>46093</v>
      </c>
      <c r="B372" s="7" t="s">
        <v>36</v>
      </c>
      <c r="C372" s="7" t="s">
        <v>357</v>
      </c>
      <c r="D372" s="8">
        <v>45</v>
      </c>
      <c r="E372" s="8">
        <v>18</v>
      </c>
    </row>
    <row r="373" spans="1:5" x14ac:dyDescent="0.35">
      <c r="A373" s="6">
        <v>46093</v>
      </c>
      <c r="B373" s="7" t="s">
        <v>83</v>
      </c>
      <c r="C373" s="7" t="s">
        <v>357</v>
      </c>
      <c r="D373" s="8">
        <v>40</v>
      </c>
      <c r="E373" s="8">
        <v>14</v>
      </c>
    </row>
    <row r="374" spans="1:5" x14ac:dyDescent="0.35">
      <c r="A374" s="6">
        <v>46093</v>
      </c>
      <c r="B374" s="7" t="s">
        <v>55</v>
      </c>
      <c r="C374" s="7" t="s">
        <v>357</v>
      </c>
      <c r="D374" s="8">
        <v>50</v>
      </c>
      <c r="E374" s="8">
        <v>14</v>
      </c>
    </row>
    <row r="375" spans="1:5" x14ac:dyDescent="0.35">
      <c r="A375" s="6">
        <v>46093</v>
      </c>
      <c r="B375" s="7" t="s">
        <v>32</v>
      </c>
      <c r="C375" s="7" t="s">
        <v>358</v>
      </c>
      <c r="D375" s="8">
        <v>6</v>
      </c>
      <c r="E375" s="8">
        <v>8</v>
      </c>
    </row>
    <row r="376" spans="1:5" x14ac:dyDescent="0.35">
      <c r="A376" s="6">
        <v>46093</v>
      </c>
      <c r="B376" s="7" t="s">
        <v>40</v>
      </c>
      <c r="C376" s="7" t="s">
        <v>358</v>
      </c>
      <c r="D376" s="8">
        <v>38</v>
      </c>
      <c r="E376" s="8">
        <v>8</v>
      </c>
    </row>
    <row r="377" spans="1:5" x14ac:dyDescent="0.35">
      <c r="A377" s="6">
        <v>46093</v>
      </c>
      <c r="B377" s="7" t="s">
        <v>73</v>
      </c>
      <c r="C377" s="7" t="s">
        <v>358</v>
      </c>
      <c r="D377" s="8">
        <v>33</v>
      </c>
      <c r="E377" s="8">
        <v>12</v>
      </c>
    </row>
    <row r="378" spans="1:5" x14ac:dyDescent="0.35">
      <c r="A378" s="6">
        <v>46093</v>
      </c>
      <c r="B378" s="7" t="s">
        <v>44</v>
      </c>
      <c r="C378" s="7" t="s">
        <v>358</v>
      </c>
      <c r="D378" s="8">
        <v>9</v>
      </c>
      <c r="E378" s="8">
        <v>12</v>
      </c>
    </row>
    <row r="379" spans="1:5" x14ac:dyDescent="0.35">
      <c r="A379" s="6">
        <v>46093</v>
      </c>
      <c r="B379" s="7" t="s">
        <v>76</v>
      </c>
      <c r="C379" s="7" t="s">
        <v>358</v>
      </c>
      <c r="D379" s="8">
        <v>0</v>
      </c>
      <c r="E379" s="8">
        <v>7</v>
      </c>
    </row>
    <row r="380" spans="1:5" x14ac:dyDescent="0.35">
      <c r="A380" s="6">
        <v>46093</v>
      </c>
      <c r="B380" s="7" t="s">
        <v>60</v>
      </c>
      <c r="C380" s="7" t="s">
        <v>358</v>
      </c>
      <c r="D380" s="8">
        <v>30</v>
      </c>
      <c r="E380" s="8">
        <v>10</v>
      </c>
    </row>
    <row r="381" spans="1:5" x14ac:dyDescent="0.35">
      <c r="A381" s="6">
        <v>46093</v>
      </c>
      <c r="B381" s="7" t="s">
        <v>79</v>
      </c>
      <c r="C381" s="7" t="s">
        <v>358</v>
      </c>
      <c r="D381" s="8">
        <v>0</v>
      </c>
      <c r="E381" s="8">
        <v>10</v>
      </c>
    </row>
    <row r="382" spans="1:5" x14ac:dyDescent="0.35">
      <c r="A382" s="6">
        <v>46093</v>
      </c>
      <c r="B382" s="7" t="s">
        <v>50</v>
      </c>
      <c r="C382" s="7" t="s">
        <v>358</v>
      </c>
      <c r="D382" s="8">
        <v>62</v>
      </c>
      <c r="E382" s="8">
        <v>18</v>
      </c>
    </row>
    <row r="383" spans="1:5" x14ac:dyDescent="0.35">
      <c r="A383" s="6">
        <v>46093</v>
      </c>
      <c r="B383" s="7" t="s">
        <v>47</v>
      </c>
      <c r="C383" s="7" t="s">
        <v>358</v>
      </c>
      <c r="D383" s="8">
        <v>52</v>
      </c>
      <c r="E383" s="8">
        <v>18</v>
      </c>
    </row>
    <row r="384" spans="1:5" x14ac:dyDescent="0.35">
      <c r="A384" s="6">
        <v>46093</v>
      </c>
      <c r="B384" s="7" t="s">
        <v>36</v>
      </c>
      <c r="C384" s="7" t="s">
        <v>358</v>
      </c>
      <c r="D384" s="8">
        <v>65</v>
      </c>
      <c r="E384" s="8">
        <v>18</v>
      </c>
    </row>
    <row r="385" spans="1:5" x14ac:dyDescent="0.35">
      <c r="A385" s="6">
        <v>46093</v>
      </c>
      <c r="B385" s="7" t="s">
        <v>83</v>
      </c>
      <c r="C385" s="7" t="s">
        <v>358</v>
      </c>
      <c r="D385" s="8">
        <v>37</v>
      </c>
      <c r="E385" s="8">
        <v>14</v>
      </c>
    </row>
    <row r="386" spans="1:5" x14ac:dyDescent="0.35">
      <c r="A386" s="6">
        <v>46093</v>
      </c>
      <c r="B386" s="7" t="s">
        <v>55</v>
      </c>
      <c r="C386" s="7" t="s">
        <v>358</v>
      </c>
      <c r="D386" s="8">
        <v>3</v>
      </c>
      <c r="E386" s="8">
        <v>14</v>
      </c>
    </row>
    <row r="387" spans="1:5" x14ac:dyDescent="0.35">
      <c r="A387" s="6">
        <v>46093</v>
      </c>
      <c r="B387" s="7" t="s">
        <v>32</v>
      </c>
      <c r="C387" s="7" t="s">
        <v>359</v>
      </c>
      <c r="D387" s="8">
        <v>37</v>
      </c>
      <c r="E387" s="8">
        <v>8</v>
      </c>
    </row>
    <row r="388" spans="1:5" x14ac:dyDescent="0.35">
      <c r="A388" s="6">
        <v>46093</v>
      </c>
      <c r="B388" s="7" t="s">
        <v>40</v>
      </c>
      <c r="C388" s="7" t="s">
        <v>359</v>
      </c>
      <c r="D388" s="8">
        <v>29</v>
      </c>
      <c r="E388" s="8">
        <v>8</v>
      </c>
    </row>
    <row r="389" spans="1:5" x14ac:dyDescent="0.35">
      <c r="A389" s="6">
        <v>46093</v>
      </c>
      <c r="B389" s="7" t="s">
        <v>73</v>
      </c>
      <c r="C389" s="7" t="s">
        <v>359</v>
      </c>
      <c r="D389" s="8">
        <v>1</v>
      </c>
      <c r="E389" s="8">
        <v>12</v>
      </c>
    </row>
    <row r="390" spans="1:5" x14ac:dyDescent="0.35">
      <c r="A390" s="6">
        <v>46093</v>
      </c>
      <c r="B390" s="7" t="s">
        <v>44</v>
      </c>
      <c r="C390" s="7" t="s">
        <v>359</v>
      </c>
      <c r="D390" s="8">
        <v>8</v>
      </c>
      <c r="E390" s="8">
        <v>12</v>
      </c>
    </row>
    <row r="391" spans="1:5" x14ac:dyDescent="0.35">
      <c r="A391" s="6">
        <v>46093</v>
      </c>
      <c r="B391" s="7" t="s">
        <v>76</v>
      </c>
      <c r="C391" s="7" t="s">
        <v>359</v>
      </c>
      <c r="D391" s="8">
        <v>20</v>
      </c>
      <c r="E391" s="8">
        <v>7</v>
      </c>
    </row>
    <row r="392" spans="1:5" x14ac:dyDescent="0.35">
      <c r="A392" s="6">
        <v>46093</v>
      </c>
      <c r="B392" s="7" t="s">
        <v>60</v>
      </c>
      <c r="C392" s="7" t="s">
        <v>359</v>
      </c>
      <c r="D392" s="8">
        <v>7</v>
      </c>
      <c r="E392" s="8">
        <v>10</v>
      </c>
    </row>
    <row r="393" spans="1:5" x14ac:dyDescent="0.35">
      <c r="A393" s="6">
        <v>46093</v>
      </c>
      <c r="B393" s="7" t="s">
        <v>79</v>
      </c>
      <c r="C393" s="7" t="s">
        <v>359</v>
      </c>
      <c r="D393" s="8">
        <v>36</v>
      </c>
      <c r="E393" s="8">
        <v>10</v>
      </c>
    </row>
    <row r="394" spans="1:5" x14ac:dyDescent="0.35">
      <c r="A394" s="6">
        <v>46093</v>
      </c>
      <c r="B394" s="7" t="s">
        <v>50</v>
      </c>
      <c r="C394" s="7" t="s">
        <v>359</v>
      </c>
      <c r="D394" s="8">
        <v>63</v>
      </c>
      <c r="E394" s="8">
        <v>18</v>
      </c>
    </row>
    <row r="395" spans="1:5" x14ac:dyDescent="0.35">
      <c r="A395" s="6">
        <v>46093</v>
      </c>
      <c r="B395" s="7" t="s">
        <v>47</v>
      </c>
      <c r="C395" s="7" t="s">
        <v>359</v>
      </c>
      <c r="D395" s="8">
        <v>48</v>
      </c>
      <c r="E395" s="8">
        <v>18</v>
      </c>
    </row>
    <row r="396" spans="1:5" x14ac:dyDescent="0.35">
      <c r="A396" s="6">
        <v>46093</v>
      </c>
      <c r="B396" s="7" t="s">
        <v>36</v>
      </c>
      <c r="C396" s="7" t="s">
        <v>359</v>
      </c>
      <c r="D396" s="8">
        <v>59</v>
      </c>
      <c r="E396" s="8">
        <v>18</v>
      </c>
    </row>
    <row r="397" spans="1:5" x14ac:dyDescent="0.35">
      <c r="A397" s="6">
        <v>46093</v>
      </c>
      <c r="B397" s="7" t="s">
        <v>83</v>
      </c>
      <c r="C397" s="7" t="s">
        <v>359</v>
      </c>
      <c r="D397" s="8">
        <v>23</v>
      </c>
      <c r="E397" s="8">
        <v>14</v>
      </c>
    </row>
    <row r="398" spans="1:5" x14ac:dyDescent="0.35">
      <c r="A398" s="6">
        <v>46093</v>
      </c>
      <c r="B398" s="7" t="s">
        <v>55</v>
      </c>
      <c r="C398" s="7" t="s">
        <v>359</v>
      </c>
      <c r="D398" s="8">
        <v>34</v>
      </c>
      <c r="E398" s="8">
        <v>14</v>
      </c>
    </row>
    <row r="399" spans="1:5" x14ac:dyDescent="0.35">
      <c r="A399" s="6">
        <v>46100</v>
      </c>
      <c r="B399" s="7" t="s">
        <v>32</v>
      </c>
      <c r="C399" s="7" t="s">
        <v>357</v>
      </c>
      <c r="D399" s="8">
        <v>19</v>
      </c>
      <c r="E399" s="8">
        <v>8</v>
      </c>
    </row>
    <row r="400" spans="1:5" x14ac:dyDescent="0.35">
      <c r="A400" s="6">
        <v>46100</v>
      </c>
      <c r="B400" s="7" t="s">
        <v>40</v>
      </c>
      <c r="C400" s="7" t="s">
        <v>357</v>
      </c>
      <c r="D400" s="8">
        <v>30</v>
      </c>
      <c r="E400" s="8">
        <v>8</v>
      </c>
    </row>
    <row r="401" spans="1:5" x14ac:dyDescent="0.35">
      <c r="A401" s="6">
        <v>46100</v>
      </c>
      <c r="B401" s="7" t="s">
        <v>73</v>
      </c>
      <c r="C401" s="7" t="s">
        <v>357</v>
      </c>
      <c r="D401" s="8">
        <v>25</v>
      </c>
      <c r="E401" s="8">
        <v>12</v>
      </c>
    </row>
    <row r="402" spans="1:5" x14ac:dyDescent="0.35">
      <c r="A402" s="6">
        <v>46100</v>
      </c>
      <c r="B402" s="7" t="s">
        <v>44</v>
      </c>
      <c r="C402" s="7" t="s">
        <v>357</v>
      </c>
      <c r="D402" s="8">
        <v>19</v>
      </c>
      <c r="E402" s="8">
        <v>12</v>
      </c>
    </row>
    <row r="403" spans="1:5" x14ac:dyDescent="0.35">
      <c r="A403" s="6">
        <v>46100</v>
      </c>
      <c r="B403" s="7" t="s">
        <v>76</v>
      </c>
      <c r="C403" s="7" t="s">
        <v>357</v>
      </c>
      <c r="D403" s="8">
        <v>16</v>
      </c>
      <c r="E403" s="8">
        <v>7</v>
      </c>
    </row>
    <row r="404" spans="1:5" x14ac:dyDescent="0.35">
      <c r="A404" s="6">
        <v>46100</v>
      </c>
      <c r="B404" s="7" t="s">
        <v>60</v>
      </c>
      <c r="C404" s="7" t="s">
        <v>357</v>
      </c>
      <c r="D404" s="8">
        <v>40</v>
      </c>
      <c r="E404" s="8">
        <v>10</v>
      </c>
    </row>
    <row r="405" spans="1:5" x14ac:dyDescent="0.35">
      <c r="A405" s="6">
        <v>46100</v>
      </c>
      <c r="B405" s="7" t="s">
        <v>79</v>
      </c>
      <c r="C405" s="7" t="s">
        <v>357</v>
      </c>
      <c r="D405" s="8">
        <v>0</v>
      </c>
      <c r="E405" s="8">
        <v>10</v>
      </c>
    </row>
    <row r="406" spans="1:5" x14ac:dyDescent="0.35">
      <c r="A406" s="6">
        <v>46100</v>
      </c>
      <c r="B406" s="7" t="s">
        <v>50</v>
      </c>
      <c r="C406" s="7" t="s">
        <v>357</v>
      </c>
      <c r="D406" s="8">
        <v>47</v>
      </c>
      <c r="E406" s="8">
        <v>18</v>
      </c>
    </row>
    <row r="407" spans="1:5" x14ac:dyDescent="0.35">
      <c r="A407" s="6">
        <v>46100</v>
      </c>
      <c r="B407" s="7" t="s">
        <v>47</v>
      </c>
      <c r="C407" s="7" t="s">
        <v>357</v>
      </c>
      <c r="D407" s="8">
        <v>54</v>
      </c>
      <c r="E407" s="8">
        <v>18</v>
      </c>
    </row>
    <row r="408" spans="1:5" x14ac:dyDescent="0.35">
      <c r="A408" s="6">
        <v>46100</v>
      </c>
      <c r="B408" s="7" t="s">
        <v>36</v>
      </c>
      <c r="C408" s="7" t="s">
        <v>357</v>
      </c>
      <c r="D408" s="8">
        <v>55</v>
      </c>
      <c r="E408" s="8">
        <v>18</v>
      </c>
    </row>
    <row r="409" spans="1:5" x14ac:dyDescent="0.35">
      <c r="A409" s="6">
        <v>46100</v>
      </c>
      <c r="B409" s="7" t="s">
        <v>83</v>
      </c>
      <c r="C409" s="7" t="s">
        <v>357</v>
      </c>
      <c r="D409" s="8">
        <v>7</v>
      </c>
      <c r="E409" s="8">
        <v>14</v>
      </c>
    </row>
    <row r="410" spans="1:5" x14ac:dyDescent="0.35">
      <c r="A410" s="6">
        <v>46100</v>
      </c>
      <c r="B410" s="7" t="s">
        <v>55</v>
      </c>
      <c r="C410" s="7" t="s">
        <v>357</v>
      </c>
      <c r="D410" s="8">
        <v>37</v>
      </c>
      <c r="E410" s="8">
        <v>14</v>
      </c>
    </row>
    <row r="411" spans="1:5" x14ac:dyDescent="0.35">
      <c r="A411" s="6">
        <v>46100</v>
      </c>
      <c r="B411" s="7" t="s">
        <v>32</v>
      </c>
      <c r="C411" s="7" t="s">
        <v>358</v>
      </c>
      <c r="D411" s="8">
        <v>1</v>
      </c>
      <c r="E411" s="8">
        <v>8</v>
      </c>
    </row>
    <row r="412" spans="1:5" x14ac:dyDescent="0.35">
      <c r="A412" s="6">
        <v>46100</v>
      </c>
      <c r="B412" s="7" t="s">
        <v>40</v>
      </c>
      <c r="C412" s="7" t="s">
        <v>358</v>
      </c>
      <c r="D412" s="8">
        <v>2</v>
      </c>
      <c r="E412" s="8">
        <v>8</v>
      </c>
    </row>
    <row r="413" spans="1:5" x14ac:dyDescent="0.35">
      <c r="A413" s="6">
        <v>46100</v>
      </c>
      <c r="B413" s="7" t="s">
        <v>73</v>
      </c>
      <c r="C413" s="7" t="s">
        <v>358</v>
      </c>
      <c r="D413" s="8">
        <v>24</v>
      </c>
      <c r="E413" s="8">
        <v>12</v>
      </c>
    </row>
    <row r="414" spans="1:5" x14ac:dyDescent="0.35">
      <c r="A414" s="6">
        <v>46100</v>
      </c>
      <c r="B414" s="7" t="s">
        <v>44</v>
      </c>
      <c r="C414" s="7" t="s">
        <v>358</v>
      </c>
      <c r="D414" s="8">
        <v>12</v>
      </c>
      <c r="E414" s="8">
        <v>12</v>
      </c>
    </row>
    <row r="415" spans="1:5" x14ac:dyDescent="0.35">
      <c r="A415" s="6">
        <v>46100</v>
      </c>
      <c r="B415" s="7" t="s">
        <v>76</v>
      </c>
      <c r="C415" s="7" t="s">
        <v>358</v>
      </c>
      <c r="D415" s="8">
        <v>3</v>
      </c>
      <c r="E415" s="8">
        <v>7</v>
      </c>
    </row>
    <row r="416" spans="1:5" x14ac:dyDescent="0.35">
      <c r="A416" s="6">
        <v>46100</v>
      </c>
      <c r="B416" s="7" t="s">
        <v>60</v>
      </c>
      <c r="C416" s="7" t="s">
        <v>358</v>
      </c>
      <c r="D416" s="8">
        <v>24</v>
      </c>
      <c r="E416" s="8">
        <v>10</v>
      </c>
    </row>
    <row r="417" spans="1:5" x14ac:dyDescent="0.35">
      <c r="A417" s="6">
        <v>46100</v>
      </c>
      <c r="B417" s="7" t="s">
        <v>79</v>
      </c>
      <c r="C417" s="7" t="s">
        <v>358</v>
      </c>
      <c r="D417" s="8">
        <v>11</v>
      </c>
      <c r="E417" s="8">
        <v>10</v>
      </c>
    </row>
    <row r="418" spans="1:5" x14ac:dyDescent="0.35">
      <c r="A418" s="6">
        <v>46100</v>
      </c>
      <c r="B418" s="7" t="s">
        <v>50</v>
      </c>
      <c r="C418" s="7" t="s">
        <v>358</v>
      </c>
      <c r="D418" s="8">
        <v>50</v>
      </c>
      <c r="E418" s="8">
        <v>18</v>
      </c>
    </row>
    <row r="419" spans="1:5" x14ac:dyDescent="0.35">
      <c r="A419" s="6">
        <v>46100</v>
      </c>
      <c r="B419" s="7" t="s">
        <v>47</v>
      </c>
      <c r="C419" s="7" t="s">
        <v>358</v>
      </c>
      <c r="D419" s="8">
        <v>45</v>
      </c>
      <c r="E419" s="8">
        <v>18</v>
      </c>
    </row>
    <row r="420" spans="1:5" x14ac:dyDescent="0.35">
      <c r="A420" s="6">
        <v>46100</v>
      </c>
      <c r="B420" s="7" t="s">
        <v>36</v>
      </c>
      <c r="C420" s="7" t="s">
        <v>358</v>
      </c>
      <c r="D420" s="8">
        <v>62</v>
      </c>
      <c r="E420" s="8">
        <v>18</v>
      </c>
    </row>
    <row r="421" spans="1:5" x14ac:dyDescent="0.35">
      <c r="A421" s="6">
        <v>46100</v>
      </c>
      <c r="B421" s="7" t="s">
        <v>83</v>
      </c>
      <c r="C421" s="7" t="s">
        <v>358</v>
      </c>
      <c r="D421" s="8">
        <v>0</v>
      </c>
      <c r="E421" s="8">
        <v>14</v>
      </c>
    </row>
    <row r="422" spans="1:5" x14ac:dyDescent="0.35">
      <c r="A422" s="6">
        <v>46100</v>
      </c>
      <c r="B422" s="7" t="s">
        <v>55</v>
      </c>
      <c r="C422" s="7" t="s">
        <v>358</v>
      </c>
      <c r="D422" s="8">
        <v>25</v>
      </c>
      <c r="E422" s="8">
        <v>14</v>
      </c>
    </row>
    <row r="423" spans="1:5" x14ac:dyDescent="0.35">
      <c r="A423" s="6">
        <v>46100</v>
      </c>
      <c r="B423" s="7" t="s">
        <v>32</v>
      </c>
      <c r="C423" s="7" t="s">
        <v>359</v>
      </c>
      <c r="D423" s="8">
        <v>0</v>
      </c>
      <c r="E423" s="8">
        <v>8</v>
      </c>
    </row>
    <row r="424" spans="1:5" x14ac:dyDescent="0.35">
      <c r="A424" s="6">
        <v>46100</v>
      </c>
      <c r="B424" s="7" t="s">
        <v>40</v>
      </c>
      <c r="C424" s="7" t="s">
        <v>359</v>
      </c>
      <c r="D424" s="8">
        <v>17</v>
      </c>
      <c r="E424" s="8">
        <v>8</v>
      </c>
    </row>
    <row r="425" spans="1:5" x14ac:dyDescent="0.35">
      <c r="A425" s="6">
        <v>46100</v>
      </c>
      <c r="B425" s="7" t="s">
        <v>73</v>
      </c>
      <c r="C425" s="7" t="s">
        <v>359</v>
      </c>
      <c r="D425" s="8">
        <v>10</v>
      </c>
      <c r="E425" s="8">
        <v>12</v>
      </c>
    </row>
    <row r="426" spans="1:5" x14ac:dyDescent="0.35">
      <c r="A426" s="6">
        <v>46100</v>
      </c>
      <c r="B426" s="7" t="s">
        <v>44</v>
      </c>
      <c r="C426" s="7" t="s">
        <v>359</v>
      </c>
      <c r="D426" s="8">
        <v>12</v>
      </c>
      <c r="E426" s="8">
        <v>12</v>
      </c>
    </row>
    <row r="427" spans="1:5" x14ac:dyDescent="0.35">
      <c r="A427" s="6">
        <v>46100</v>
      </c>
      <c r="B427" s="7" t="s">
        <v>76</v>
      </c>
      <c r="C427" s="7" t="s">
        <v>359</v>
      </c>
      <c r="D427" s="8">
        <v>15</v>
      </c>
      <c r="E427" s="8">
        <v>7</v>
      </c>
    </row>
    <row r="428" spans="1:5" x14ac:dyDescent="0.35">
      <c r="A428" s="6">
        <v>46100</v>
      </c>
      <c r="B428" s="7" t="s">
        <v>60</v>
      </c>
      <c r="C428" s="7" t="s">
        <v>359</v>
      </c>
      <c r="D428" s="8">
        <v>1</v>
      </c>
      <c r="E428" s="8">
        <v>10</v>
      </c>
    </row>
    <row r="429" spans="1:5" x14ac:dyDescent="0.35">
      <c r="A429" s="6">
        <v>46100</v>
      </c>
      <c r="B429" s="7" t="s">
        <v>79</v>
      </c>
      <c r="C429" s="7" t="s">
        <v>359</v>
      </c>
      <c r="D429" s="8">
        <v>0</v>
      </c>
      <c r="E429" s="8">
        <v>10</v>
      </c>
    </row>
    <row r="430" spans="1:5" x14ac:dyDescent="0.35">
      <c r="A430" s="6">
        <v>46100</v>
      </c>
      <c r="B430" s="7" t="s">
        <v>50</v>
      </c>
      <c r="C430" s="7" t="s">
        <v>359</v>
      </c>
      <c r="D430" s="8">
        <v>52</v>
      </c>
      <c r="E430" s="8">
        <v>18</v>
      </c>
    </row>
    <row r="431" spans="1:5" x14ac:dyDescent="0.35">
      <c r="A431" s="6">
        <v>46100</v>
      </c>
      <c r="B431" s="7" t="s">
        <v>47</v>
      </c>
      <c r="C431" s="7" t="s">
        <v>359</v>
      </c>
      <c r="D431" s="8">
        <v>66</v>
      </c>
      <c r="E431" s="8">
        <v>18</v>
      </c>
    </row>
    <row r="432" spans="1:5" x14ac:dyDescent="0.35">
      <c r="A432" s="6">
        <v>46100</v>
      </c>
      <c r="B432" s="7" t="s">
        <v>36</v>
      </c>
      <c r="C432" s="7" t="s">
        <v>359</v>
      </c>
      <c r="D432" s="8">
        <v>35</v>
      </c>
      <c r="E432" s="8">
        <v>18</v>
      </c>
    </row>
    <row r="433" spans="1:5" x14ac:dyDescent="0.35">
      <c r="A433" s="6">
        <v>46100</v>
      </c>
      <c r="B433" s="7" t="s">
        <v>83</v>
      </c>
      <c r="C433" s="7" t="s">
        <v>359</v>
      </c>
      <c r="D433" s="8">
        <v>21</v>
      </c>
      <c r="E433" s="8">
        <v>14</v>
      </c>
    </row>
    <row r="434" spans="1:5" x14ac:dyDescent="0.35">
      <c r="A434" s="6">
        <v>46100</v>
      </c>
      <c r="B434" s="7" t="s">
        <v>55</v>
      </c>
      <c r="C434" s="7" t="s">
        <v>359</v>
      </c>
      <c r="D434" s="8">
        <v>14</v>
      </c>
      <c r="E434" s="8">
        <v>14</v>
      </c>
    </row>
    <row r="435" spans="1:5" x14ac:dyDescent="0.35">
      <c r="A435" s="6">
        <v>46107</v>
      </c>
      <c r="B435" s="7" t="s">
        <v>32</v>
      </c>
      <c r="C435" s="7" t="s">
        <v>357</v>
      </c>
      <c r="D435" s="8">
        <v>38</v>
      </c>
      <c r="E435" s="8">
        <v>8</v>
      </c>
    </row>
    <row r="436" spans="1:5" x14ac:dyDescent="0.35">
      <c r="A436" s="6">
        <v>46107</v>
      </c>
      <c r="B436" s="7" t="s">
        <v>40</v>
      </c>
      <c r="C436" s="7" t="s">
        <v>357</v>
      </c>
      <c r="D436" s="8">
        <v>27</v>
      </c>
      <c r="E436" s="8">
        <v>8</v>
      </c>
    </row>
    <row r="437" spans="1:5" x14ac:dyDescent="0.35">
      <c r="A437" s="6">
        <v>46107</v>
      </c>
      <c r="B437" s="7" t="s">
        <v>73</v>
      </c>
      <c r="C437" s="7" t="s">
        <v>357</v>
      </c>
      <c r="D437" s="8">
        <v>34</v>
      </c>
      <c r="E437" s="8">
        <v>12</v>
      </c>
    </row>
    <row r="438" spans="1:5" x14ac:dyDescent="0.35">
      <c r="A438" s="6">
        <v>46107</v>
      </c>
      <c r="B438" s="7" t="s">
        <v>44</v>
      </c>
      <c r="C438" s="7" t="s">
        <v>357</v>
      </c>
      <c r="D438" s="8">
        <v>39</v>
      </c>
      <c r="E438" s="8">
        <v>12</v>
      </c>
    </row>
    <row r="439" spans="1:5" x14ac:dyDescent="0.35">
      <c r="A439" s="6">
        <v>46107</v>
      </c>
      <c r="B439" s="7" t="s">
        <v>76</v>
      </c>
      <c r="C439" s="7" t="s">
        <v>357</v>
      </c>
      <c r="D439" s="8">
        <v>20</v>
      </c>
      <c r="E439" s="8">
        <v>7</v>
      </c>
    </row>
    <row r="440" spans="1:5" x14ac:dyDescent="0.35">
      <c r="A440" s="6">
        <v>46107</v>
      </c>
      <c r="B440" s="7" t="s">
        <v>60</v>
      </c>
      <c r="C440" s="7" t="s">
        <v>357</v>
      </c>
      <c r="D440" s="8">
        <v>2</v>
      </c>
      <c r="E440" s="8">
        <v>10</v>
      </c>
    </row>
    <row r="441" spans="1:5" x14ac:dyDescent="0.35">
      <c r="A441" s="6">
        <v>46107</v>
      </c>
      <c r="B441" s="7" t="s">
        <v>79</v>
      </c>
      <c r="C441" s="7" t="s">
        <v>357</v>
      </c>
      <c r="D441" s="8">
        <v>12</v>
      </c>
      <c r="E441" s="8">
        <v>10</v>
      </c>
    </row>
    <row r="442" spans="1:5" x14ac:dyDescent="0.35">
      <c r="A442" s="6">
        <v>46107</v>
      </c>
      <c r="B442" s="7" t="s">
        <v>50</v>
      </c>
      <c r="C442" s="7" t="s">
        <v>357</v>
      </c>
      <c r="D442" s="8">
        <v>76</v>
      </c>
      <c r="E442" s="8">
        <v>18</v>
      </c>
    </row>
    <row r="443" spans="1:5" x14ac:dyDescent="0.35">
      <c r="A443" s="6">
        <v>46107</v>
      </c>
      <c r="B443" s="7" t="s">
        <v>47</v>
      </c>
      <c r="C443" s="7" t="s">
        <v>357</v>
      </c>
      <c r="D443" s="8">
        <v>30</v>
      </c>
      <c r="E443" s="8">
        <v>18</v>
      </c>
    </row>
    <row r="444" spans="1:5" x14ac:dyDescent="0.35">
      <c r="A444" s="6">
        <v>46107</v>
      </c>
      <c r="B444" s="7" t="s">
        <v>36</v>
      </c>
      <c r="C444" s="7" t="s">
        <v>357</v>
      </c>
      <c r="D444" s="8">
        <v>74</v>
      </c>
      <c r="E444" s="8">
        <v>18</v>
      </c>
    </row>
    <row r="445" spans="1:5" x14ac:dyDescent="0.35">
      <c r="A445" s="6">
        <v>46107</v>
      </c>
      <c r="B445" s="7" t="s">
        <v>83</v>
      </c>
      <c r="C445" s="7" t="s">
        <v>357</v>
      </c>
      <c r="D445" s="8">
        <v>48</v>
      </c>
      <c r="E445" s="8">
        <v>14</v>
      </c>
    </row>
    <row r="446" spans="1:5" x14ac:dyDescent="0.35">
      <c r="A446" s="6">
        <v>46107</v>
      </c>
      <c r="B446" s="7" t="s">
        <v>55</v>
      </c>
      <c r="C446" s="7" t="s">
        <v>357</v>
      </c>
      <c r="D446" s="8">
        <v>31</v>
      </c>
      <c r="E446" s="8">
        <v>14</v>
      </c>
    </row>
    <row r="447" spans="1:5" x14ac:dyDescent="0.35">
      <c r="A447" s="6">
        <v>46107</v>
      </c>
      <c r="B447" s="7" t="s">
        <v>32</v>
      </c>
      <c r="C447" s="7" t="s">
        <v>358</v>
      </c>
      <c r="D447" s="8">
        <v>34</v>
      </c>
      <c r="E447" s="8">
        <v>8</v>
      </c>
    </row>
    <row r="448" spans="1:5" x14ac:dyDescent="0.35">
      <c r="A448" s="6">
        <v>46107</v>
      </c>
      <c r="B448" s="7" t="s">
        <v>40</v>
      </c>
      <c r="C448" s="7" t="s">
        <v>358</v>
      </c>
      <c r="D448" s="8">
        <v>26</v>
      </c>
      <c r="E448" s="8">
        <v>8</v>
      </c>
    </row>
    <row r="449" spans="1:5" x14ac:dyDescent="0.35">
      <c r="A449" s="6">
        <v>46107</v>
      </c>
      <c r="B449" s="7" t="s">
        <v>73</v>
      </c>
      <c r="C449" s="7" t="s">
        <v>358</v>
      </c>
      <c r="D449" s="8">
        <v>32</v>
      </c>
      <c r="E449" s="8">
        <v>12</v>
      </c>
    </row>
    <row r="450" spans="1:5" x14ac:dyDescent="0.35">
      <c r="A450" s="6">
        <v>46107</v>
      </c>
      <c r="B450" s="7" t="s">
        <v>44</v>
      </c>
      <c r="C450" s="7" t="s">
        <v>358</v>
      </c>
      <c r="D450" s="8">
        <v>42</v>
      </c>
      <c r="E450" s="8">
        <v>12</v>
      </c>
    </row>
    <row r="451" spans="1:5" x14ac:dyDescent="0.35">
      <c r="A451" s="6">
        <v>46107</v>
      </c>
      <c r="B451" s="7" t="s">
        <v>76</v>
      </c>
      <c r="C451" s="7" t="s">
        <v>358</v>
      </c>
      <c r="D451" s="8">
        <v>16</v>
      </c>
      <c r="E451" s="8">
        <v>7</v>
      </c>
    </row>
    <row r="452" spans="1:5" x14ac:dyDescent="0.35">
      <c r="A452" s="6">
        <v>46107</v>
      </c>
      <c r="B452" s="7" t="s">
        <v>60</v>
      </c>
      <c r="C452" s="7" t="s">
        <v>358</v>
      </c>
      <c r="D452" s="8">
        <v>17</v>
      </c>
      <c r="E452" s="8">
        <v>10</v>
      </c>
    </row>
    <row r="453" spans="1:5" x14ac:dyDescent="0.35">
      <c r="A453" s="6">
        <v>46107</v>
      </c>
      <c r="B453" s="7" t="s">
        <v>79</v>
      </c>
      <c r="C453" s="7" t="s">
        <v>358</v>
      </c>
      <c r="D453" s="8">
        <v>21</v>
      </c>
      <c r="E453" s="8">
        <v>10</v>
      </c>
    </row>
    <row r="454" spans="1:5" x14ac:dyDescent="0.35">
      <c r="A454" s="6">
        <v>46107</v>
      </c>
      <c r="B454" s="7" t="s">
        <v>50</v>
      </c>
      <c r="C454" s="7" t="s">
        <v>358</v>
      </c>
      <c r="D454" s="8">
        <v>68</v>
      </c>
      <c r="E454" s="8">
        <v>18</v>
      </c>
    </row>
    <row r="455" spans="1:5" x14ac:dyDescent="0.35">
      <c r="A455" s="6">
        <v>46107</v>
      </c>
      <c r="B455" s="7" t="s">
        <v>47</v>
      </c>
      <c r="C455" s="7" t="s">
        <v>358</v>
      </c>
      <c r="D455" s="8">
        <v>42</v>
      </c>
      <c r="E455" s="8">
        <v>18</v>
      </c>
    </row>
    <row r="456" spans="1:5" x14ac:dyDescent="0.35">
      <c r="A456" s="6">
        <v>46107</v>
      </c>
      <c r="B456" s="7" t="s">
        <v>36</v>
      </c>
      <c r="C456" s="7" t="s">
        <v>358</v>
      </c>
      <c r="D456" s="8">
        <v>61</v>
      </c>
      <c r="E456" s="8">
        <v>18</v>
      </c>
    </row>
    <row r="457" spans="1:5" x14ac:dyDescent="0.35">
      <c r="A457" s="6">
        <v>46107</v>
      </c>
      <c r="B457" s="7" t="s">
        <v>83</v>
      </c>
      <c r="C457" s="7" t="s">
        <v>358</v>
      </c>
      <c r="D457" s="8">
        <v>46</v>
      </c>
      <c r="E457" s="8">
        <v>14</v>
      </c>
    </row>
    <row r="458" spans="1:5" x14ac:dyDescent="0.35">
      <c r="A458" s="6">
        <v>46107</v>
      </c>
      <c r="B458" s="7" t="s">
        <v>55</v>
      </c>
      <c r="C458" s="7" t="s">
        <v>358</v>
      </c>
      <c r="D458" s="8">
        <v>35</v>
      </c>
      <c r="E458" s="8">
        <v>14</v>
      </c>
    </row>
    <row r="459" spans="1:5" x14ac:dyDescent="0.35">
      <c r="A459" s="6">
        <v>46107</v>
      </c>
      <c r="B459" s="7" t="s">
        <v>32</v>
      </c>
      <c r="C459" s="7" t="s">
        <v>359</v>
      </c>
      <c r="D459" s="8">
        <v>0</v>
      </c>
      <c r="E459" s="8">
        <v>8</v>
      </c>
    </row>
    <row r="460" spans="1:5" x14ac:dyDescent="0.35">
      <c r="A460" s="6">
        <v>46107</v>
      </c>
      <c r="B460" s="7" t="s">
        <v>40</v>
      </c>
      <c r="C460" s="7" t="s">
        <v>359</v>
      </c>
      <c r="D460" s="8">
        <v>17</v>
      </c>
      <c r="E460" s="8">
        <v>8</v>
      </c>
    </row>
    <row r="461" spans="1:5" x14ac:dyDescent="0.35">
      <c r="A461" s="6">
        <v>46107</v>
      </c>
      <c r="B461" s="7" t="s">
        <v>73</v>
      </c>
      <c r="C461" s="7" t="s">
        <v>359</v>
      </c>
      <c r="D461" s="8">
        <v>25</v>
      </c>
      <c r="E461" s="8">
        <v>12</v>
      </c>
    </row>
    <row r="462" spans="1:5" x14ac:dyDescent="0.35">
      <c r="A462" s="6">
        <v>46107</v>
      </c>
      <c r="B462" s="7" t="s">
        <v>44</v>
      </c>
      <c r="C462" s="7" t="s">
        <v>359</v>
      </c>
      <c r="D462" s="8">
        <v>33</v>
      </c>
      <c r="E462" s="8">
        <v>12</v>
      </c>
    </row>
    <row r="463" spans="1:5" x14ac:dyDescent="0.35">
      <c r="A463" s="6">
        <v>46107</v>
      </c>
      <c r="B463" s="7" t="s">
        <v>76</v>
      </c>
      <c r="C463" s="7" t="s">
        <v>359</v>
      </c>
      <c r="D463" s="8">
        <v>8</v>
      </c>
      <c r="E463" s="8">
        <v>7</v>
      </c>
    </row>
    <row r="464" spans="1:5" x14ac:dyDescent="0.35">
      <c r="A464" s="6">
        <v>46107</v>
      </c>
      <c r="B464" s="7" t="s">
        <v>60</v>
      </c>
      <c r="C464" s="7" t="s">
        <v>359</v>
      </c>
      <c r="D464" s="8">
        <v>5</v>
      </c>
      <c r="E464" s="8">
        <v>10</v>
      </c>
    </row>
    <row r="465" spans="1:5" x14ac:dyDescent="0.35">
      <c r="A465" s="6">
        <v>46107</v>
      </c>
      <c r="B465" s="7" t="s">
        <v>79</v>
      </c>
      <c r="C465" s="7" t="s">
        <v>359</v>
      </c>
      <c r="D465" s="8">
        <v>0</v>
      </c>
      <c r="E465" s="8">
        <v>10</v>
      </c>
    </row>
    <row r="466" spans="1:5" x14ac:dyDescent="0.35">
      <c r="A466" s="6">
        <v>46107</v>
      </c>
      <c r="B466" s="7" t="s">
        <v>50</v>
      </c>
      <c r="C466" s="7" t="s">
        <v>359</v>
      </c>
      <c r="D466" s="8">
        <v>95</v>
      </c>
      <c r="E466" s="8">
        <v>18</v>
      </c>
    </row>
    <row r="467" spans="1:5" x14ac:dyDescent="0.35">
      <c r="A467" s="6">
        <v>46107</v>
      </c>
      <c r="B467" s="7" t="s">
        <v>47</v>
      </c>
      <c r="C467" s="7" t="s">
        <v>359</v>
      </c>
      <c r="D467" s="8">
        <v>67</v>
      </c>
      <c r="E467" s="8">
        <v>18</v>
      </c>
    </row>
    <row r="468" spans="1:5" x14ac:dyDescent="0.35">
      <c r="A468" s="6">
        <v>46107</v>
      </c>
      <c r="B468" s="7" t="s">
        <v>36</v>
      </c>
      <c r="C468" s="7" t="s">
        <v>359</v>
      </c>
      <c r="D468" s="8">
        <v>53</v>
      </c>
      <c r="E468" s="8">
        <v>18</v>
      </c>
    </row>
    <row r="469" spans="1:5" x14ac:dyDescent="0.35">
      <c r="A469" s="6">
        <v>46107</v>
      </c>
      <c r="B469" s="7" t="s">
        <v>83</v>
      </c>
      <c r="C469" s="7" t="s">
        <v>359</v>
      </c>
      <c r="D469" s="8">
        <v>30</v>
      </c>
      <c r="E469" s="8">
        <v>14</v>
      </c>
    </row>
    <row r="470" spans="1:5" x14ac:dyDescent="0.35">
      <c r="A470" s="6">
        <v>46107</v>
      </c>
      <c r="B470" s="7" t="s">
        <v>55</v>
      </c>
      <c r="C470" s="7" t="s">
        <v>359</v>
      </c>
      <c r="D470" s="8">
        <v>46</v>
      </c>
      <c r="E470" s="8">
        <v>14</v>
      </c>
    </row>
  </sheetData>
  <mergeCells count="1">
    <mergeCell ref="A1:E1"/>
  </mergeCells>
  <phoneticPr fontId="10"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4"/>
  <sheetViews>
    <sheetView showGridLines="0" workbookViewId="0">
      <selection activeCell="K11" sqref="K11"/>
    </sheetView>
  </sheetViews>
  <sheetFormatPr defaultRowHeight="14.5" x14ac:dyDescent="0.35"/>
  <cols>
    <col min="1" max="1" width="7" customWidth="1"/>
    <col min="2" max="2" width="13" customWidth="1"/>
    <col min="3" max="3" width="10" customWidth="1"/>
    <col min="4" max="4" width="14" customWidth="1"/>
  </cols>
  <sheetData>
    <row r="1" spans="1:4" ht="18.5" x14ac:dyDescent="0.45">
      <c r="A1" s="58" t="s">
        <v>360</v>
      </c>
      <c r="B1" s="55"/>
      <c r="C1" s="55"/>
      <c r="D1" s="55"/>
    </row>
    <row r="2" spans="1:4" x14ac:dyDescent="0.35">
      <c r="A2" s="4" t="s">
        <v>26</v>
      </c>
      <c r="B2" s="4" t="s">
        <v>361</v>
      </c>
      <c r="C2" s="4" t="s">
        <v>362</v>
      </c>
      <c r="D2" s="4" t="s">
        <v>363</v>
      </c>
    </row>
    <row r="3" spans="1:4" x14ac:dyDescent="0.35">
      <c r="A3" s="7" t="s">
        <v>32</v>
      </c>
      <c r="B3" s="7" t="s">
        <v>364</v>
      </c>
      <c r="C3" s="7" t="s">
        <v>365</v>
      </c>
      <c r="D3" s="9">
        <v>720</v>
      </c>
    </row>
    <row r="4" spans="1:4" x14ac:dyDescent="0.35">
      <c r="A4" s="7" t="s">
        <v>40</v>
      </c>
      <c r="B4" s="7" t="s">
        <v>364</v>
      </c>
      <c r="C4" s="7" t="s">
        <v>366</v>
      </c>
      <c r="D4" s="9">
        <v>860</v>
      </c>
    </row>
    <row r="5" spans="1:4" x14ac:dyDescent="0.35">
      <c r="A5" s="7" t="s">
        <v>73</v>
      </c>
      <c r="B5" s="7" t="s">
        <v>367</v>
      </c>
      <c r="C5" s="7" t="s">
        <v>368</v>
      </c>
      <c r="D5" s="9">
        <v>640</v>
      </c>
    </row>
    <row r="6" spans="1:4" x14ac:dyDescent="0.35">
      <c r="A6" s="7" t="s">
        <v>44</v>
      </c>
      <c r="B6" s="7" t="s">
        <v>367</v>
      </c>
      <c r="C6" s="7" t="s">
        <v>369</v>
      </c>
      <c r="D6" s="9">
        <v>280</v>
      </c>
    </row>
    <row r="7" spans="1:4" x14ac:dyDescent="0.35">
      <c r="A7" s="7" t="s">
        <v>76</v>
      </c>
      <c r="B7" s="7" t="s">
        <v>370</v>
      </c>
      <c r="C7" s="7" t="s">
        <v>368</v>
      </c>
      <c r="D7" s="9">
        <v>360</v>
      </c>
    </row>
    <row r="8" spans="1:4" x14ac:dyDescent="0.35">
      <c r="A8" s="7" t="s">
        <v>60</v>
      </c>
      <c r="B8" s="7" t="s">
        <v>371</v>
      </c>
      <c r="C8" s="7" t="s">
        <v>372</v>
      </c>
      <c r="D8" s="9">
        <v>155</v>
      </c>
    </row>
    <row r="9" spans="1:4" x14ac:dyDescent="0.35">
      <c r="A9" s="7" t="s">
        <v>79</v>
      </c>
      <c r="B9" s="7" t="s">
        <v>371</v>
      </c>
      <c r="C9" s="7" t="s">
        <v>369</v>
      </c>
      <c r="D9" s="9">
        <v>220</v>
      </c>
    </row>
    <row r="10" spans="1:4" x14ac:dyDescent="0.35">
      <c r="A10" s="7" t="s">
        <v>50</v>
      </c>
      <c r="B10" s="7" t="s">
        <v>373</v>
      </c>
      <c r="C10" s="7" t="s">
        <v>374</v>
      </c>
      <c r="D10" s="9">
        <v>58</v>
      </c>
    </row>
    <row r="11" spans="1:4" x14ac:dyDescent="0.35">
      <c r="A11" s="7" t="s">
        <v>47</v>
      </c>
      <c r="B11" s="7" t="s">
        <v>373</v>
      </c>
      <c r="C11" s="7" t="s">
        <v>375</v>
      </c>
      <c r="D11" s="9">
        <v>22</v>
      </c>
    </row>
    <row r="12" spans="1:4" x14ac:dyDescent="0.35">
      <c r="A12" s="7" t="s">
        <v>36</v>
      </c>
      <c r="B12" s="7" t="s">
        <v>373</v>
      </c>
      <c r="C12" s="7" t="s">
        <v>375</v>
      </c>
      <c r="D12" s="9">
        <v>15</v>
      </c>
    </row>
    <row r="13" spans="1:4" x14ac:dyDescent="0.35">
      <c r="A13" s="7" t="s">
        <v>83</v>
      </c>
      <c r="B13" s="7" t="s">
        <v>376</v>
      </c>
      <c r="C13" s="7" t="s">
        <v>377</v>
      </c>
      <c r="D13" s="9">
        <v>48</v>
      </c>
    </row>
    <row r="14" spans="1:4" x14ac:dyDescent="0.35">
      <c r="A14" s="7" t="s">
        <v>55</v>
      </c>
      <c r="B14" s="7" t="s">
        <v>376</v>
      </c>
      <c r="C14" s="7" t="s">
        <v>375</v>
      </c>
      <c r="D14" s="9">
        <v>34</v>
      </c>
    </row>
  </sheetData>
  <mergeCells count="1">
    <mergeCell ref="A1:D1"/>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946E92E-BCA4-41E2-B0AF-52F39185A7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Read_Me</vt:lpstr>
      <vt:lpstr>tblReferenceData</vt:lpstr>
      <vt:lpstr>tblRawInventory</vt:lpstr>
      <vt:lpstr>Revenue By Region</vt:lpstr>
      <vt:lpstr>Sales Trend</vt:lpstr>
      <vt:lpstr>Dashboard</vt:lpstr>
      <vt:lpstr>Product</vt:lpstr>
      <vt:lpstr>Category</vt:lpstr>
      <vt:lpstr>Clean_Data</vt:lpstr>
      <vt:lpstr>Raw_Sales</vt:lpstr>
      <vt:lpstr>Raw_Inventory</vt:lpstr>
      <vt:lpstr>Reference_Data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Abodunrin Oketade</dc:creator>
  <cp:lastModifiedBy>Abodunrin Oketade</cp:lastModifiedBy>
  <dcterms:created xsi:type="dcterms:W3CDTF">2026-04-08T00:56:02Z</dcterms:created>
  <dcterms:modified xsi:type="dcterms:W3CDTF">2026-04-10T01:09:00Z</dcterms:modified>
</cp:coreProperties>
</file>